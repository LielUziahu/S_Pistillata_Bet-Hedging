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G:\Shared drives\CSMS_CBP_MassLab\Liel Uziahu\GitHub\MDPI_S_Pistillata_Bet-Hedging\raw_data\Planulae\Prot\"/>
    </mc:Choice>
  </mc:AlternateContent>
  <xr:revisionPtr revIDLastSave="0" documentId="13_ncr:1_{A6C3826D-8977-405D-AA33-4F5C741A91F7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RawData" sheetId="1" r:id="rId1"/>
    <sheet name="loadout" sheetId="2" r:id="rId2"/>
    <sheet name="CaliCurve" sheetId="3" r:id="rId3"/>
    <sheet name="calculates" sheetId="4" r:id="rId4"/>
  </sheets>
  <definedNames>
    <definedName name="MethodPointer1">1447419168</definedName>
    <definedName name="MethodPointer2">541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2" i="4"/>
  <c r="I3" i="4"/>
  <c r="I4" i="4"/>
  <c r="I5" i="4"/>
  <c r="I6" i="4"/>
  <c r="I7" i="4"/>
  <c r="I8" i="4"/>
  <c r="I9" i="4"/>
  <c r="I10" i="4"/>
  <c r="I11" i="4"/>
  <c r="I12" i="4"/>
  <c r="I13" i="4"/>
  <c r="I2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1" i="3"/>
  <c r="E22" i="3"/>
  <c r="E20" i="3"/>
  <c r="E23" i="3"/>
  <c r="E24" i="3"/>
  <c r="E25" i="3"/>
  <c r="E26" i="3"/>
  <c r="E27" i="3"/>
  <c r="E28" i="3"/>
  <c r="E2" i="3"/>
  <c r="J1" i="3"/>
  <c r="G3" i="4" l="1"/>
  <c r="G4" i="4"/>
  <c r="G5" i="4"/>
  <c r="G6" i="4"/>
  <c r="G7" i="4"/>
  <c r="G8" i="4"/>
  <c r="G9" i="4"/>
  <c r="G10" i="4"/>
  <c r="G11" i="4"/>
  <c r="G12" i="4"/>
  <c r="G13" i="4"/>
  <c r="G2" i="4"/>
  <c r="H3" i="4" l="1"/>
  <c r="J3" i="4"/>
  <c r="H4" i="4"/>
  <c r="J4" i="4"/>
  <c r="H5" i="4"/>
  <c r="J5" i="4"/>
  <c r="H6" i="4"/>
  <c r="J6" i="4"/>
  <c r="H7" i="4"/>
  <c r="J7" i="4"/>
  <c r="H8" i="4"/>
  <c r="J8" i="4"/>
  <c r="H9" i="4"/>
  <c r="J9" i="4"/>
  <c r="H10" i="4"/>
  <c r="J10" i="4"/>
  <c r="H11" i="4"/>
  <c r="J11" i="4"/>
  <c r="H12" i="4"/>
  <c r="J12" i="4"/>
  <c r="H13" i="4"/>
  <c r="J13" i="4"/>
  <c r="H2" i="4"/>
  <c r="J2" i="4"/>
</calcChain>
</file>

<file path=xl/sharedStrings.xml><?xml version="1.0" encoding="utf-8"?>
<sst xmlns="http://schemas.openxmlformats.org/spreadsheetml/2006/main" count="148" uniqueCount="68">
  <si>
    <t>Software Version</t>
  </si>
  <si>
    <t>3.09.07</t>
  </si>
  <si>
    <t>Experiment File Path:</t>
  </si>
  <si>
    <t>C:\Users\Public\Documents\Experiments\liel562prot12012026.xpt</t>
  </si>
  <si>
    <t>Protocol File Path: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</si>
  <si>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</si>
  <si>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</si>
  <si>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</si>
  <si>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</si>
  <si>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</si>
  <si>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</si>
  <si>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</si>
  <si>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2001311A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</si>
  <si>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</si>
  <si>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</si>
  <si>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</si>
  <si>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</si>
  <si>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</si>
  <si>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</si>
  <si>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</si>
  <si>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Absorbance Endpoint</t>
  </si>
  <si>
    <t>Full Plate</t>
  </si>
  <si>
    <t>Wavelengths:  562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</si>
  <si>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</si>
  <si>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</si>
  <si>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</si>
  <si>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</si>
  <si>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</si>
  <si>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</si>
  <si>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</si>
  <si>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</si>
  <si>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</si>
  <si>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</si>
  <si>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</si>
  <si>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vile no</t>
  </si>
  <si>
    <t>morph</t>
  </si>
  <si>
    <t>no of planulae</t>
  </si>
  <si>
    <t>prot</t>
  </si>
  <si>
    <t>NF</t>
  </si>
  <si>
    <t>HF</t>
  </si>
  <si>
    <t>reagent</t>
  </si>
  <si>
    <t>a</t>
  </si>
  <si>
    <t>b</t>
  </si>
  <si>
    <t>c</t>
  </si>
  <si>
    <t>d</t>
  </si>
  <si>
    <t>e</t>
  </si>
  <si>
    <t>f</t>
  </si>
  <si>
    <t>g</t>
  </si>
  <si>
    <t>h</t>
  </si>
  <si>
    <t>VileID</t>
  </si>
  <si>
    <t>OD</t>
  </si>
  <si>
    <t>OD1</t>
  </si>
  <si>
    <t>OD2</t>
  </si>
  <si>
    <t>OD3</t>
  </si>
  <si>
    <t>average od</t>
  </si>
  <si>
    <t>ug/ml per larvae</t>
  </si>
  <si>
    <t>ug/ml per tube</t>
  </si>
  <si>
    <t>ug/ml (diluted by 4)</t>
  </si>
  <si>
    <t>no</t>
  </si>
  <si>
    <t>conc ug/ml</t>
  </si>
  <si>
    <t>asvrege blank</t>
  </si>
  <si>
    <t>OD without blank</t>
  </si>
  <si>
    <t>blank</t>
  </si>
  <si>
    <t>average od without Blank</t>
  </si>
  <si>
    <t>BLANK</t>
  </si>
  <si>
    <t>ml</t>
  </si>
  <si>
    <t>notes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</si>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</sst>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1"/>
      <color theme="1"/>
      <name val="Times New Roman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5" fillId="1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>
        <c:manualLayout>
          <c:layoutTarget val="inner"/>
          <c:xMode val="edge"/>
          <c:yMode val="edge"/>
          <c:x val="0.12833114610673665"/>
          <c:y val="0.15850427350427351"/>
          <c:w val="0.81100218722659667"/>
          <c:h val="0.72950837876034724"/>
        </c:manualLayout>
      </c:layout>
      <c:scatterChart>
        <c:scatterStyle val="lineMarker"/>
        <c:varyColors val="0"/>
        <c:ser>
          <c:idx val="0"/>
          <c:order val="0"/>
          <c:tx>
            <c:strRef>
              <c:f>CaliCurve!$E$1</c:f>
              <c:strCache>
                <c:ptCount val="1"/>
                <c:pt idx="0">
                  <c:v>OD without blank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1520231846019248"/>
                  <c:y val="-1.9925970792112526E-2"/>
                </c:manualLayout>
              </c:layout>
              <c:numFmt formatCode="0.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</c:trendlineLbl>
          </c:trendline>
          <c:xVal>
            <c:numRef>
              <c:f>CaliCurve!$C$2:$C$19</c:f>
              <c:numCache>
                <c:formatCode>General</c:formatCode>
                <c:ptCount val="18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2.5</c:v>
                </c:pt>
                <c:pt idx="16">
                  <c:v>2.5</c:v>
                </c:pt>
                <c:pt idx="17">
                  <c:v>2.5</c:v>
                </c:pt>
              </c:numCache>
            </c:numRef>
          </c:xVal>
          <c:yVal>
            <c:numRef>
              <c:f>CaliCurve!$E$2:$E$19</c:f>
              <c:numCache>
                <c:formatCode>General</c:formatCode>
                <c:ptCount val="18"/>
                <c:pt idx="0">
                  <c:v>1.0426666666666666</c:v>
                </c:pt>
                <c:pt idx="1">
                  <c:v>1.0476666666666667</c:v>
                </c:pt>
                <c:pt idx="2">
                  <c:v>1.0866666666666667</c:v>
                </c:pt>
                <c:pt idx="3">
                  <c:v>0.25966666666666671</c:v>
                </c:pt>
                <c:pt idx="4">
                  <c:v>0.2466666666666667</c:v>
                </c:pt>
                <c:pt idx="5">
                  <c:v>0.2506666666666667</c:v>
                </c:pt>
                <c:pt idx="6">
                  <c:v>0.12366666666666669</c:v>
                </c:pt>
                <c:pt idx="7">
                  <c:v>0.1256666666666667</c:v>
                </c:pt>
                <c:pt idx="8">
                  <c:v>0.12466666666666669</c:v>
                </c:pt>
                <c:pt idx="9">
                  <c:v>5.9666666666666687E-2</c:v>
                </c:pt>
                <c:pt idx="10">
                  <c:v>5.6666666666666685E-2</c:v>
                </c:pt>
                <c:pt idx="11">
                  <c:v>5.9666666666666687E-2</c:v>
                </c:pt>
                <c:pt idx="12">
                  <c:v>1.966666666666668E-2</c:v>
                </c:pt>
                <c:pt idx="13">
                  <c:v>1.7666666666666678E-2</c:v>
                </c:pt>
                <c:pt idx="14">
                  <c:v>2.9666666666666675E-2</c:v>
                </c:pt>
                <c:pt idx="15">
                  <c:v>5.666666666666681E-3</c:v>
                </c:pt>
                <c:pt idx="16">
                  <c:v>1.0666666666666672E-2</c:v>
                </c:pt>
                <c:pt idx="17">
                  <c:v>1.1666666666666672E-2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EA-4114-BDC1-3ACA47003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4317248"/>
        <c:axId val="1244324448"/>
      </c:scatterChart>
      <c:valAx>
        <c:axId val="124431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44324448"/>
        <c:crosses val="autoZero"/>
        <c:crossBetween val="midCat"/>
      </c:valAx>
      <c:valAx>
        <c:axId val="12443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44317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386715</xdr:colOff>
      <xdr:row>1</xdr:row>
      <xdr:rowOff>87630</xdr:rowOff>
    </xdr:from>
    <xdr:to>
      <xdr:col>19</xdr:col>
      <xdr:colOff>81915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8D8C6C-D63F-C2EE-41C0-6E9F86828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32"/>
  <sheetViews>
    <sheetView topLeftCell="B10" workbookViewId="0">
      <selection activeCell="C25" sqref="C25:H30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46034</v>
      </c>
    </row>
    <row r="8" spans="1:2" x14ac:dyDescent="0.2">
      <c r="A8" t="s">
        <v>8</v>
      </c>
      <c r="B8" s="2">
        <v>0.60006944444444443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 t="s">
        <v>12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15" x14ac:dyDescent="0.2">
      <c r="B17" t="s">
        <v>21</v>
      </c>
    </row>
    <row r="18" spans="1:15" x14ac:dyDescent="0.2">
      <c r="B18" t="s">
        <v>22</v>
      </c>
    </row>
    <row r="19" spans="1:15" x14ac:dyDescent="0.2">
      <c r="B19" t="s">
        <v>23</v>
      </c>
    </row>
    <row r="21" spans="1:15" x14ac:dyDescent="0.2">
      <c r="A21" s="3" t="s">
        <v>24</v>
      </c>
      <c r="B21" s="4"/>
    </row>
    <row r="22" spans="1:15" x14ac:dyDescent="0.2">
      <c r="A22" t="s">
        <v>25</v>
      </c>
      <c r="B22">
        <v>24.1</v>
      </c>
    </row>
    <row r="24" spans="1:15" x14ac:dyDescent="0.2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">
      <c r="B25" s="6" t="s">
        <v>26</v>
      </c>
      <c r="C25" s="7">
        <v>0.69799999999999995</v>
      </c>
      <c r="D25" s="7">
        <v>0.66200000000000003</v>
      </c>
      <c r="E25" s="7">
        <v>0.66500000000000004</v>
      </c>
      <c r="F25" s="8">
        <v>0.84099999999999997</v>
      </c>
      <c r="G25" s="8">
        <v>0.81299999999999994</v>
      </c>
      <c r="H25" s="9">
        <v>0.78200000000000003</v>
      </c>
      <c r="I25" s="10">
        <v>7.5999999999999998E-2</v>
      </c>
      <c r="J25" s="10">
        <v>7.5999999999999998E-2</v>
      </c>
      <c r="K25" s="10">
        <v>7.6999999999999999E-2</v>
      </c>
      <c r="L25" s="11">
        <v>1.119</v>
      </c>
      <c r="M25" s="11">
        <v>1.1240000000000001</v>
      </c>
      <c r="N25" s="12">
        <v>1.163</v>
      </c>
      <c r="O25" s="13">
        <v>562</v>
      </c>
    </row>
    <row r="26" spans="1:15" x14ac:dyDescent="0.2">
      <c r="B26" s="6" t="s">
        <v>27</v>
      </c>
      <c r="C26" s="8">
        <v>0.85299999999999998</v>
      </c>
      <c r="D26" s="9">
        <v>0.73899999999999999</v>
      </c>
      <c r="E26" s="7">
        <v>0.69799999999999995</v>
      </c>
      <c r="F26" s="8">
        <v>0.83</v>
      </c>
      <c r="G26" s="9">
        <v>0.75</v>
      </c>
      <c r="H26" s="7">
        <v>0.67800000000000005</v>
      </c>
      <c r="I26" s="10">
        <v>5.0999999999999997E-2</v>
      </c>
      <c r="J26" s="10">
        <v>4.8000000000000001E-2</v>
      </c>
      <c r="K26" s="10">
        <v>8.2000000000000003E-2</v>
      </c>
      <c r="L26" s="14">
        <v>0.33600000000000002</v>
      </c>
      <c r="M26" s="14">
        <v>0.32300000000000001</v>
      </c>
      <c r="N26" s="14">
        <v>0.32700000000000001</v>
      </c>
      <c r="O26" s="13">
        <v>562</v>
      </c>
    </row>
    <row r="27" spans="1:15" x14ac:dyDescent="0.2">
      <c r="B27" s="6" t="s">
        <v>28</v>
      </c>
      <c r="C27" s="8">
        <v>0.85499999999999998</v>
      </c>
      <c r="D27" s="9">
        <v>0.74399999999999999</v>
      </c>
      <c r="E27" s="9">
        <v>0.749</v>
      </c>
      <c r="F27" s="9">
        <v>0.78</v>
      </c>
      <c r="G27" s="8">
        <v>0.83599999999999997</v>
      </c>
      <c r="H27" s="7">
        <v>0.69299999999999995</v>
      </c>
      <c r="I27" s="10">
        <v>5.6000000000000001E-2</v>
      </c>
      <c r="J27" s="10">
        <v>0.05</v>
      </c>
      <c r="K27" s="10">
        <v>4.8000000000000001E-2</v>
      </c>
      <c r="L27" s="15">
        <v>0.2</v>
      </c>
      <c r="M27" s="15">
        <v>0.20200000000000001</v>
      </c>
      <c r="N27" s="15">
        <v>0.20100000000000001</v>
      </c>
      <c r="O27" s="13">
        <v>562</v>
      </c>
    </row>
    <row r="28" spans="1:15" x14ac:dyDescent="0.2">
      <c r="B28" s="6" t="s">
        <v>29</v>
      </c>
      <c r="C28" s="16">
        <v>0.62</v>
      </c>
      <c r="D28" s="16">
        <v>0.63100000000000001</v>
      </c>
      <c r="E28" s="9">
        <v>0.72</v>
      </c>
      <c r="F28" s="9">
        <v>0.73199999999999998</v>
      </c>
      <c r="G28" s="9">
        <v>0.72899999999999998</v>
      </c>
      <c r="H28" s="7">
        <v>0.71499999999999997</v>
      </c>
      <c r="I28" s="10">
        <v>5.1999999999999998E-2</v>
      </c>
      <c r="J28" s="10">
        <v>4.8000000000000001E-2</v>
      </c>
      <c r="K28" s="10">
        <v>4.8000000000000001E-2</v>
      </c>
      <c r="L28" s="15">
        <v>0.13600000000000001</v>
      </c>
      <c r="M28" s="15">
        <v>0.13300000000000001</v>
      </c>
      <c r="N28" s="15">
        <v>0.13600000000000001</v>
      </c>
      <c r="O28" s="13">
        <v>562</v>
      </c>
    </row>
    <row r="29" spans="1:15" x14ac:dyDescent="0.2">
      <c r="B29" s="6" t="s">
        <v>30</v>
      </c>
      <c r="C29" s="16">
        <v>0.63300000000000001</v>
      </c>
      <c r="D29" s="16">
        <v>0.59499999999999997</v>
      </c>
      <c r="E29" s="16">
        <v>0.55600000000000005</v>
      </c>
      <c r="F29" s="7">
        <v>0.70099999999999996</v>
      </c>
      <c r="G29" s="7">
        <v>0.68</v>
      </c>
      <c r="H29" s="9">
        <v>0.74199999999999999</v>
      </c>
      <c r="I29" s="10">
        <v>0.05</v>
      </c>
      <c r="J29" s="10">
        <v>4.9000000000000002E-2</v>
      </c>
      <c r="K29" s="10">
        <v>4.8000000000000001E-2</v>
      </c>
      <c r="L29" s="10">
        <v>9.6000000000000002E-2</v>
      </c>
      <c r="M29" s="10">
        <v>9.4E-2</v>
      </c>
      <c r="N29" s="10">
        <v>0.106</v>
      </c>
      <c r="O29" s="13">
        <v>562</v>
      </c>
    </row>
    <row r="30" spans="1:15" x14ac:dyDescent="0.2">
      <c r="B30" s="6" t="s">
        <v>31</v>
      </c>
      <c r="C30" s="8">
        <v>0.81599999999999995</v>
      </c>
      <c r="D30" s="9">
        <v>0.76600000000000001</v>
      </c>
      <c r="E30" s="8">
        <v>0.81200000000000006</v>
      </c>
      <c r="F30" s="12">
        <v>1.22</v>
      </c>
      <c r="G30" s="17">
        <v>1.0049999999999999</v>
      </c>
      <c r="H30" s="18">
        <v>0.90300000000000002</v>
      </c>
      <c r="I30" s="10">
        <v>0.05</v>
      </c>
      <c r="J30" s="10">
        <v>4.9000000000000002E-2</v>
      </c>
      <c r="K30" s="10">
        <v>4.8000000000000001E-2</v>
      </c>
      <c r="L30" s="10">
        <v>8.2000000000000003E-2</v>
      </c>
      <c r="M30" s="10">
        <v>8.6999999999999994E-2</v>
      </c>
      <c r="N30" s="10">
        <v>8.7999999999999995E-2</v>
      </c>
      <c r="O30" s="13">
        <v>562</v>
      </c>
    </row>
    <row r="31" spans="1:15" x14ac:dyDescent="0.2">
      <c r="B31" s="6" t="s">
        <v>32</v>
      </c>
      <c r="C31" s="10">
        <v>4.8000000000000001E-2</v>
      </c>
      <c r="D31" s="10">
        <v>0.05</v>
      </c>
      <c r="E31" s="10">
        <v>5.2999999999999999E-2</v>
      </c>
      <c r="F31" s="10">
        <v>5.2999999999999999E-2</v>
      </c>
      <c r="G31" s="10">
        <v>4.8000000000000001E-2</v>
      </c>
      <c r="H31" s="10">
        <v>4.9000000000000002E-2</v>
      </c>
      <c r="I31" s="10">
        <v>4.9000000000000002E-2</v>
      </c>
      <c r="J31" s="10">
        <v>4.7E-2</v>
      </c>
      <c r="K31" s="10">
        <v>4.8000000000000001E-2</v>
      </c>
      <c r="L31" s="10">
        <v>7.6999999999999999E-2</v>
      </c>
      <c r="M31" s="10">
        <v>7.4999999999999997E-2</v>
      </c>
      <c r="N31" s="10">
        <v>0.08</v>
      </c>
      <c r="O31" s="13">
        <v>562</v>
      </c>
    </row>
    <row r="32" spans="1:15" x14ac:dyDescent="0.2">
      <c r="B32" s="6" t="s">
        <v>33</v>
      </c>
      <c r="C32" s="10">
        <v>4.5999999999999999E-2</v>
      </c>
      <c r="D32" s="10">
        <v>5.0999999999999997E-2</v>
      </c>
      <c r="E32" s="10">
        <v>5.5E-2</v>
      </c>
      <c r="F32" s="10">
        <v>0.05</v>
      </c>
      <c r="G32" s="10">
        <v>5.0999999999999997E-2</v>
      </c>
      <c r="H32" s="10">
        <v>4.9000000000000002E-2</v>
      </c>
      <c r="I32" s="10">
        <v>5.1999999999999998E-2</v>
      </c>
      <c r="J32" s="10">
        <v>4.8000000000000001E-2</v>
      </c>
      <c r="K32" s="10">
        <v>4.5999999999999999E-2</v>
      </c>
      <c r="L32" s="10">
        <v>7.5999999999999998E-2</v>
      </c>
      <c r="M32" s="10">
        <v>7.3999999999999996E-2</v>
      </c>
      <c r="N32" s="10">
        <v>9.1999999999999998E-2</v>
      </c>
      <c r="O32" s="13">
        <v>562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198E3-56C8-4B18-AA83-32658710A738}">
  <dimension ref="A1:R21"/>
  <sheetViews>
    <sheetView workbookViewId="0">
      <selection activeCell="C14" sqref="C14"/>
    </sheetView>
  </sheetViews>
  <sheetFormatPr defaultRowHeight="12.75" x14ac:dyDescent="0.2"/>
  <sheetData>
    <row r="1" spans="1:18" x14ac:dyDescent="0.2">
      <c r="A1" t="s">
        <v>34</v>
      </c>
      <c r="B1" t="s">
        <v>35</v>
      </c>
      <c r="C1" t="s">
        <v>36</v>
      </c>
    </row>
    <row r="2" spans="1:18" x14ac:dyDescent="0.2">
      <c r="A2">
        <v>1</v>
      </c>
      <c r="B2" t="s">
        <v>38</v>
      </c>
      <c r="C2">
        <v>10</v>
      </c>
      <c r="F2" t="s">
        <v>37</v>
      </c>
    </row>
    <row r="3" spans="1:18" x14ac:dyDescent="0.2">
      <c r="A3">
        <v>2</v>
      </c>
      <c r="B3" t="s">
        <v>38</v>
      </c>
      <c r="C3">
        <v>10</v>
      </c>
      <c r="G3">
        <v>1</v>
      </c>
      <c r="H3">
        <v>2</v>
      </c>
      <c r="I3">
        <v>3</v>
      </c>
      <c r="J3">
        <v>4</v>
      </c>
      <c r="K3">
        <v>5</v>
      </c>
      <c r="L3">
        <v>6</v>
      </c>
      <c r="M3">
        <v>7</v>
      </c>
      <c r="N3">
        <v>8</v>
      </c>
      <c r="O3">
        <v>9</v>
      </c>
      <c r="P3">
        <v>10</v>
      </c>
      <c r="Q3">
        <v>11</v>
      </c>
      <c r="R3">
        <v>12</v>
      </c>
    </row>
    <row r="4" spans="1:18" x14ac:dyDescent="0.2">
      <c r="A4">
        <v>3</v>
      </c>
      <c r="B4" t="s">
        <v>38</v>
      </c>
      <c r="C4">
        <v>10</v>
      </c>
      <c r="F4" t="s">
        <v>26</v>
      </c>
      <c r="G4">
        <v>1</v>
      </c>
      <c r="H4">
        <v>1</v>
      </c>
      <c r="I4">
        <v>1</v>
      </c>
      <c r="J4">
        <v>7</v>
      </c>
      <c r="K4">
        <v>7</v>
      </c>
      <c r="L4">
        <v>7</v>
      </c>
      <c r="M4" t="s">
        <v>64</v>
      </c>
      <c r="N4" t="s">
        <v>64</v>
      </c>
      <c r="O4" t="s">
        <v>64</v>
      </c>
      <c r="P4" t="s">
        <v>26</v>
      </c>
      <c r="Q4" t="s">
        <v>26</v>
      </c>
      <c r="R4" t="s">
        <v>26</v>
      </c>
    </row>
    <row r="5" spans="1:18" x14ac:dyDescent="0.2">
      <c r="A5">
        <v>4</v>
      </c>
      <c r="B5" t="s">
        <v>38</v>
      </c>
      <c r="C5">
        <v>10</v>
      </c>
      <c r="F5" t="s">
        <v>27</v>
      </c>
      <c r="G5">
        <v>2</v>
      </c>
      <c r="H5">
        <v>2</v>
      </c>
      <c r="I5">
        <v>2</v>
      </c>
      <c r="J5">
        <v>8</v>
      </c>
      <c r="K5">
        <v>8</v>
      </c>
      <c r="L5">
        <v>8</v>
      </c>
      <c r="P5" t="s">
        <v>27</v>
      </c>
      <c r="Q5" t="s">
        <v>27</v>
      </c>
      <c r="R5" t="s">
        <v>27</v>
      </c>
    </row>
    <row r="6" spans="1:18" x14ac:dyDescent="0.2">
      <c r="A6">
        <v>5</v>
      </c>
      <c r="B6" t="s">
        <v>38</v>
      </c>
      <c r="C6">
        <v>10</v>
      </c>
      <c r="F6" t="s">
        <v>28</v>
      </c>
      <c r="G6">
        <v>3</v>
      </c>
      <c r="H6">
        <v>3</v>
      </c>
      <c r="I6">
        <v>3</v>
      </c>
      <c r="J6">
        <v>9</v>
      </c>
      <c r="K6">
        <v>9</v>
      </c>
      <c r="L6">
        <v>9</v>
      </c>
      <c r="P6" t="s">
        <v>28</v>
      </c>
      <c r="Q6" t="s">
        <v>28</v>
      </c>
      <c r="R6" t="s">
        <v>28</v>
      </c>
    </row>
    <row r="7" spans="1:18" x14ac:dyDescent="0.2">
      <c r="A7">
        <v>6</v>
      </c>
      <c r="B7" t="s">
        <v>38</v>
      </c>
      <c r="C7">
        <v>10</v>
      </c>
      <c r="F7" t="s">
        <v>29</v>
      </c>
      <c r="G7">
        <v>4</v>
      </c>
      <c r="H7">
        <v>4</v>
      </c>
      <c r="I7">
        <v>4</v>
      </c>
      <c r="J7">
        <v>10</v>
      </c>
      <c r="K7">
        <v>10</v>
      </c>
      <c r="L7">
        <v>10</v>
      </c>
      <c r="P7" t="s">
        <v>29</v>
      </c>
      <c r="Q7" t="s">
        <v>29</v>
      </c>
      <c r="R7" t="s">
        <v>29</v>
      </c>
    </row>
    <row r="8" spans="1:18" x14ac:dyDescent="0.2">
      <c r="A8">
        <v>7</v>
      </c>
      <c r="B8" t="s">
        <v>39</v>
      </c>
      <c r="C8">
        <v>10</v>
      </c>
      <c r="F8" t="s">
        <v>30</v>
      </c>
      <c r="G8">
        <v>5</v>
      </c>
      <c r="H8">
        <v>5</v>
      </c>
      <c r="I8">
        <v>5</v>
      </c>
      <c r="J8">
        <v>11</v>
      </c>
      <c r="K8">
        <v>11</v>
      </c>
      <c r="L8">
        <v>11</v>
      </c>
      <c r="P8" t="s">
        <v>30</v>
      </c>
      <c r="Q8" t="s">
        <v>30</v>
      </c>
      <c r="R8" t="s">
        <v>30</v>
      </c>
    </row>
    <row r="9" spans="1:18" x14ac:dyDescent="0.2">
      <c r="A9">
        <v>8</v>
      </c>
      <c r="B9" t="s">
        <v>39</v>
      </c>
      <c r="C9">
        <v>10</v>
      </c>
      <c r="F9" t="s">
        <v>31</v>
      </c>
      <c r="G9">
        <v>6</v>
      </c>
      <c r="H9">
        <v>6</v>
      </c>
      <c r="I9">
        <v>6</v>
      </c>
      <c r="J9">
        <v>12</v>
      </c>
      <c r="K9">
        <v>12</v>
      </c>
      <c r="L9">
        <v>12</v>
      </c>
      <c r="P9" t="s">
        <v>31</v>
      </c>
      <c r="Q9" t="s">
        <v>31</v>
      </c>
      <c r="R9" t="s">
        <v>31</v>
      </c>
    </row>
    <row r="10" spans="1:18" x14ac:dyDescent="0.2">
      <c r="A10">
        <v>9</v>
      </c>
      <c r="B10" t="s">
        <v>39</v>
      </c>
      <c r="C10">
        <v>10</v>
      </c>
      <c r="F10" t="s">
        <v>32</v>
      </c>
      <c r="P10" t="s">
        <v>32</v>
      </c>
      <c r="Q10" t="s">
        <v>32</v>
      </c>
      <c r="R10" t="s">
        <v>32</v>
      </c>
    </row>
    <row r="11" spans="1:18" x14ac:dyDescent="0.2">
      <c r="A11">
        <v>10</v>
      </c>
      <c r="B11" t="s">
        <v>39</v>
      </c>
      <c r="C11">
        <v>10</v>
      </c>
      <c r="F11" t="s">
        <v>33</v>
      </c>
      <c r="P11" t="s">
        <v>33</v>
      </c>
      <c r="Q11" t="s">
        <v>33</v>
      </c>
      <c r="R11" t="s">
        <v>33</v>
      </c>
    </row>
    <row r="12" spans="1:18" x14ac:dyDescent="0.2">
      <c r="A12">
        <v>11</v>
      </c>
      <c r="B12" t="s">
        <v>39</v>
      </c>
      <c r="C12">
        <v>10</v>
      </c>
    </row>
    <row r="13" spans="1:18" x14ac:dyDescent="0.2">
      <c r="A13">
        <v>12</v>
      </c>
      <c r="B13" t="s">
        <v>39</v>
      </c>
      <c r="C13">
        <v>14</v>
      </c>
    </row>
    <row r="18" spans="12:13" x14ac:dyDescent="0.2">
      <c r="L18" t="s">
        <v>40</v>
      </c>
      <c r="M18" t="s">
        <v>65</v>
      </c>
    </row>
    <row r="19" spans="12:13" x14ac:dyDescent="0.2">
      <c r="L19" t="s">
        <v>26</v>
      </c>
      <c r="M19">
        <v>5</v>
      </c>
    </row>
    <row r="20" spans="12:13" x14ac:dyDescent="0.2">
      <c r="L20" t="s">
        <v>27</v>
      </c>
      <c r="M20">
        <v>4.8</v>
      </c>
    </row>
    <row r="21" spans="12:13" x14ac:dyDescent="0.2">
      <c r="L21" t="s">
        <v>28</v>
      </c>
      <c r="M21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0D3CE-E205-4725-B6C0-0C0A0480A808}">
  <dimension ref="A1:J28"/>
  <sheetViews>
    <sheetView workbookViewId="0">
      <selection activeCell="I8" sqref="I8"/>
    </sheetView>
  </sheetViews>
  <sheetFormatPr defaultRowHeight="12.75" x14ac:dyDescent="0.2"/>
  <sheetData>
    <row r="1" spans="1:10" ht="30" x14ac:dyDescent="0.2">
      <c r="A1" t="s">
        <v>58</v>
      </c>
      <c r="B1" s="20" t="s">
        <v>49</v>
      </c>
      <c r="C1" s="19" t="s">
        <v>59</v>
      </c>
      <c r="D1" t="s">
        <v>50</v>
      </c>
      <c r="E1" t="s">
        <v>61</v>
      </c>
      <c r="I1" t="s">
        <v>60</v>
      </c>
      <c r="J1">
        <f>AVERAGE(D26:D28)</f>
        <v>7.6333333333333322E-2</v>
      </c>
    </row>
    <row r="2" spans="1:10" ht="15" x14ac:dyDescent="0.2">
      <c r="A2">
        <v>1</v>
      </c>
      <c r="B2" s="20" t="s">
        <v>41</v>
      </c>
      <c r="C2" s="19">
        <v>200</v>
      </c>
      <c r="D2" s="11">
        <v>1.119</v>
      </c>
      <c r="E2">
        <f>D2-$J$1</f>
        <v>1.0426666666666666</v>
      </c>
    </row>
    <row r="3" spans="1:10" ht="15" x14ac:dyDescent="0.2">
      <c r="A3">
        <v>2</v>
      </c>
      <c r="B3" s="20" t="s">
        <v>41</v>
      </c>
      <c r="C3" s="19">
        <v>200</v>
      </c>
      <c r="D3" s="11">
        <v>1.1240000000000001</v>
      </c>
      <c r="E3">
        <f t="shared" ref="E3:E28" si="0">D3-$J$1</f>
        <v>1.0476666666666667</v>
      </c>
    </row>
    <row r="4" spans="1:10" ht="15" x14ac:dyDescent="0.2">
      <c r="A4">
        <v>3</v>
      </c>
      <c r="B4" s="20" t="s">
        <v>41</v>
      </c>
      <c r="C4" s="19">
        <v>200</v>
      </c>
      <c r="D4" s="12">
        <v>1.163</v>
      </c>
      <c r="E4">
        <f t="shared" si="0"/>
        <v>1.0866666666666667</v>
      </c>
    </row>
    <row r="5" spans="1:10" ht="15" x14ac:dyDescent="0.2">
      <c r="A5">
        <v>4</v>
      </c>
      <c r="B5" s="20" t="s">
        <v>42</v>
      </c>
      <c r="C5" s="19">
        <v>40</v>
      </c>
      <c r="D5" s="14">
        <v>0.33600000000000002</v>
      </c>
      <c r="E5">
        <f t="shared" si="0"/>
        <v>0.25966666666666671</v>
      </c>
    </row>
    <row r="6" spans="1:10" ht="15" x14ac:dyDescent="0.2">
      <c r="A6">
        <v>5</v>
      </c>
      <c r="B6" s="20" t="s">
        <v>42</v>
      </c>
      <c r="C6" s="19">
        <v>40</v>
      </c>
      <c r="D6" s="14">
        <v>0.32300000000000001</v>
      </c>
      <c r="E6">
        <f t="shared" si="0"/>
        <v>0.2466666666666667</v>
      </c>
    </row>
    <row r="7" spans="1:10" ht="15" x14ac:dyDescent="0.2">
      <c r="A7">
        <v>6</v>
      </c>
      <c r="B7" s="20" t="s">
        <v>42</v>
      </c>
      <c r="C7" s="19">
        <v>40</v>
      </c>
      <c r="D7" s="14">
        <v>0.32700000000000001</v>
      </c>
      <c r="E7">
        <f t="shared" si="0"/>
        <v>0.2506666666666667</v>
      </c>
    </row>
    <row r="8" spans="1:10" ht="15" x14ac:dyDescent="0.2">
      <c r="A8">
        <v>7</v>
      </c>
      <c r="B8" s="20" t="s">
        <v>43</v>
      </c>
      <c r="C8" s="20">
        <v>20</v>
      </c>
      <c r="D8" s="15">
        <v>0.2</v>
      </c>
      <c r="E8">
        <f t="shared" si="0"/>
        <v>0.12366666666666669</v>
      </c>
    </row>
    <row r="9" spans="1:10" ht="15" x14ac:dyDescent="0.2">
      <c r="A9">
        <v>8</v>
      </c>
      <c r="B9" s="20" t="s">
        <v>43</v>
      </c>
      <c r="C9" s="20">
        <v>20</v>
      </c>
      <c r="D9" s="15">
        <v>0.20200000000000001</v>
      </c>
      <c r="E9">
        <f t="shared" si="0"/>
        <v>0.1256666666666667</v>
      </c>
    </row>
    <row r="10" spans="1:10" ht="15" x14ac:dyDescent="0.2">
      <c r="A10">
        <v>9</v>
      </c>
      <c r="B10" s="20" t="s">
        <v>43</v>
      </c>
      <c r="C10" s="20">
        <v>20</v>
      </c>
      <c r="D10" s="15">
        <v>0.20100000000000001</v>
      </c>
      <c r="E10">
        <f t="shared" si="0"/>
        <v>0.12466666666666669</v>
      </c>
    </row>
    <row r="11" spans="1:10" ht="15" x14ac:dyDescent="0.2">
      <c r="A11">
        <v>10</v>
      </c>
      <c r="B11" s="20" t="s">
        <v>44</v>
      </c>
      <c r="C11" s="20">
        <v>10</v>
      </c>
      <c r="D11" s="15">
        <v>0.13600000000000001</v>
      </c>
      <c r="E11">
        <f t="shared" si="0"/>
        <v>5.9666666666666687E-2</v>
      </c>
    </row>
    <row r="12" spans="1:10" ht="15" x14ac:dyDescent="0.2">
      <c r="A12">
        <v>11</v>
      </c>
      <c r="B12" s="20" t="s">
        <v>44</v>
      </c>
      <c r="C12" s="21">
        <v>10</v>
      </c>
      <c r="D12" s="15">
        <v>0.13300000000000001</v>
      </c>
      <c r="E12">
        <f t="shared" si="0"/>
        <v>5.6666666666666685E-2</v>
      </c>
    </row>
    <row r="13" spans="1:10" ht="15" x14ac:dyDescent="0.2">
      <c r="A13">
        <v>12</v>
      </c>
      <c r="B13" s="20" t="s">
        <v>44</v>
      </c>
      <c r="C13" s="21">
        <v>10</v>
      </c>
      <c r="D13" s="15">
        <v>0.13600000000000001</v>
      </c>
      <c r="E13">
        <f t="shared" si="0"/>
        <v>5.9666666666666687E-2</v>
      </c>
    </row>
    <row r="14" spans="1:10" ht="15" x14ac:dyDescent="0.2">
      <c r="A14">
        <v>13</v>
      </c>
      <c r="B14" s="20" t="s">
        <v>45</v>
      </c>
      <c r="C14" s="21">
        <v>5</v>
      </c>
      <c r="D14" s="10">
        <v>9.6000000000000002E-2</v>
      </c>
      <c r="E14">
        <f t="shared" si="0"/>
        <v>1.966666666666668E-2</v>
      </c>
    </row>
    <row r="15" spans="1:10" ht="15" x14ac:dyDescent="0.2">
      <c r="A15">
        <v>14</v>
      </c>
      <c r="B15" s="20" t="s">
        <v>45</v>
      </c>
      <c r="C15" s="21">
        <v>5</v>
      </c>
      <c r="D15" s="10">
        <v>9.4E-2</v>
      </c>
      <c r="E15">
        <f t="shared" si="0"/>
        <v>1.7666666666666678E-2</v>
      </c>
    </row>
    <row r="16" spans="1:10" ht="15" x14ac:dyDescent="0.2">
      <c r="A16">
        <v>15</v>
      </c>
      <c r="B16" s="20" t="s">
        <v>45</v>
      </c>
      <c r="C16" s="21">
        <v>5</v>
      </c>
      <c r="D16" s="10">
        <v>0.106</v>
      </c>
      <c r="E16">
        <f t="shared" si="0"/>
        <v>2.9666666666666675E-2</v>
      </c>
    </row>
    <row r="17" spans="1:5" ht="15" x14ac:dyDescent="0.2">
      <c r="A17">
        <v>16</v>
      </c>
      <c r="B17" s="20" t="s">
        <v>46</v>
      </c>
      <c r="C17" s="21">
        <v>2.5</v>
      </c>
      <c r="D17" s="10">
        <v>8.2000000000000003E-2</v>
      </c>
      <c r="E17">
        <f t="shared" si="0"/>
        <v>5.666666666666681E-3</v>
      </c>
    </row>
    <row r="18" spans="1:5" ht="15" x14ac:dyDescent="0.2">
      <c r="A18">
        <v>17</v>
      </c>
      <c r="B18" s="20" t="s">
        <v>46</v>
      </c>
      <c r="C18" s="21">
        <v>2.5</v>
      </c>
      <c r="D18" s="10">
        <v>8.6999999999999994E-2</v>
      </c>
      <c r="E18">
        <f t="shared" si="0"/>
        <v>1.0666666666666672E-2</v>
      </c>
    </row>
    <row r="19" spans="1:5" ht="15" x14ac:dyDescent="0.2">
      <c r="A19">
        <v>18</v>
      </c>
      <c r="B19" s="20" t="s">
        <v>46</v>
      </c>
      <c r="C19" s="21">
        <v>2.5</v>
      </c>
      <c r="D19" s="10">
        <v>8.7999999999999995E-2</v>
      </c>
      <c r="E19">
        <f t="shared" si="0"/>
        <v>1.1666666666666672E-2</v>
      </c>
    </row>
    <row r="20" spans="1:5" ht="15" x14ac:dyDescent="0.2">
      <c r="A20">
        <v>19</v>
      </c>
      <c r="B20" s="20" t="s">
        <v>47</v>
      </c>
      <c r="C20" s="21">
        <v>1</v>
      </c>
      <c r="D20" s="10">
        <v>0.08</v>
      </c>
      <c r="E20">
        <f>D20-$J$1</f>
        <v>3.6666666666666792E-3</v>
      </c>
    </row>
    <row r="21" spans="1:5" ht="15" x14ac:dyDescent="0.2">
      <c r="A21">
        <v>20</v>
      </c>
      <c r="B21" s="20" t="s">
        <v>47</v>
      </c>
      <c r="C21" s="21">
        <v>1</v>
      </c>
      <c r="D21" s="10">
        <v>7.6999999999999999E-2</v>
      </c>
      <c r="E21">
        <f>D21-$J$1</f>
        <v>6.6666666666667651E-4</v>
      </c>
    </row>
    <row r="22" spans="1:5" ht="15" x14ac:dyDescent="0.2">
      <c r="A22">
        <v>21</v>
      </c>
      <c r="B22" s="20" t="s">
        <v>47</v>
      </c>
      <c r="C22" s="21">
        <v>1</v>
      </c>
      <c r="D22" s="10">
        <v>7.4999999999999997E-2</v>
      </c>
      <c r="E22">
        <f>D22-$J$1</f>
        <v>-1.3333333333333253E-3</v>
      </c>
    </row>
    <row r="23" spans="1:5" ht="15" x14ac:dyDescent="0.2">
      <c r="A23">
        <v>22</v>
      </c>
      <c r="B23" s="20" t="s">
        <v>48</v>
      </c>
      <c r="C23" s="21">
        <v>0.5</v>
      </c>
      <c r="D23" s="10">
        <v>7.5999999999999998E-2</v>
      </c>
      <c r="E23">
        <f t="shared" si="0"/>
        <v>-3.3333333333332438E-4</v>
      </c>
    </row>
    <row r="24" spans="1:5" ht="15" x14ac:dyDescent="0.2">
      <c r="A24">
        <v>23</v>
      </c>
      <c r="B24" s="20" t="s">
        <v>48</v>
      </c>
      <c r="C24" s="21">
        <v>0.5</v>
      </c>
      <c r="D24" s="10">
        <v>7.3999999999999996E-2</v>
      </c>
      <c r="E24">
        <f t="shared" si="0"/>
        <v>-2.3333333333333262E-3</v>
      </c>
    </row>
    <row r="25" spans="1:5" ht="15" x14ac:dyDescent="0.2">
      <c r="A25">
        <v>24</v>
      </c>
      <c r="B25" s="20" t="s">
        <v>48</v>
      </c>
      <c r="C25" s="21">
        <v>0.5</v>
      </c>
      <c r="D25" s="10">
        <v>9.1999999999999998E-2</v>
      </c>
      <c r="E25">
        <f t="shared" si="0"/>
        <v>1.5666666666666676E-2</v>
      </c>
    </row>
    <row r="26" spans="1:5" ht="15" x14ac:dyDescent="0.2">
      <c r="A26">
        <v>25</v>
      </c>
      <c r="B26" s="20" t="s">
        <v>62</v>
      </c>
      <c r="C26" s="21">
        <v>0</v>
      </c>
      <c r="D26" s="10">
        <v>7.5999999999999998E-2</v>
      </c>
      <c r="E26">
        <f t="shared" si="0"/>
        <v>-3.3333333333332438E-4</v>
      </c>
    </row>
    <row r="27" spans="1:5" ht="15" x14ac:dyDescent="0.2">
      <c r="A27">
        <v>26</v>
      </c>
      <c r="B27" s="20" t="s">
        <v>62</v>
      </c>
      <c r="C27" s="21">
        <v>0</v>
      </c>
      <c r="D27" s="10">
        <v>7.5999999999999998E-2</v>
      </c>
      <c r="E27">
        <f t="shared" si="0"/>
        <v>-3.3333333333332438E-4</v>
      </c>
    </row>
    <row r="28" spans="1:5" ht="15" x14ac:dyDescent="0.2">
      <c r="A28">
        <v>27</v>
      </c>
      <c r="B28" s="20" t="s">
        <v>62</v>
      </c>
      <c r="C28" s="21">
        <v>0</v>
      </c>
      <c r="D28" s="10">
        <v>7.6999999999999999E-2</v>
      </c>
      <c r="E28">
        <f t="shared" si="0"/>
        <v>6.6666666666667651E-4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0965-A59A-4BF7-8B3D-ADF4C8B3CA97}">
  <dimension ref="A1:M22"/>
  <sheetViews>
    <sheetView tabSelected="1" workbookViewId="0">
      <selection activeCell="I49" sqref="I48:I49"/>
    </sheetView>
  </sheetViews>
  <sheetFormatPr defaultRowHeight="12.75" x14ac:dyDescent="0.2"/>
  <cols>
    <col min="1" max="2" width="8.85546875" style="21"/>
    <col min="3" max="3" width="7.85546875" bestFit="1" customWidth="1"/>
    <col min="7" max="8" width="12.140625" bestFit="1" customWidth="1"/>
    <col min="9" max="10" width="13.7109375" bestFit="1" customWidth="1"/>
    <col min="11" max="11" width="12.5703125" bestFit="1" customWidth="1"/>
  </cols>
  <sheetData>
    <row r="1" spans="1:13" s="22" customFormat="1" ht="25.5" x14ac:dyDescent="0.2">
      <c r="A1" s="22" t="s">
        <v>34</v>
      </c>
      <c r="B1" s="22" t="s">
        <v>35</v>
      </c>
      <c r="C1" s="22" t="s">
        <v>36</v>
      </c>
      <c r="D1" s="22" t="s">
        <v>51</v>
      </c>
      <c r="E1" s="22" t="s">
        <v>52</v>
      </c>
      <c r="F1" s="22" t="s">
        <v>53</v>
      </c>
      <c r="G1" s="22" t="s">
        <v>54</v>
      </c>
      <c r="H1" s="22" t="s">
        <v>63</v>
      </c>
      <c r="I1" s="22" t="s">
        <v>57</v>
      </c>
      <c r="J1" s="22" t="s">
        <v>56</v>
      </c>
      <c r="K1" s="22" t="s">
        <v>55</v>
      </c>
      <c r="M1" s="22" t="s">
        <v>66</v>
      </c>
    </row>
    <row r="2" spans="1:13" x14ac:dyDescent="0.2">
      <c r="A2">
        <v>1</v>
      </c>
      <c r="B2" t="s">
        <v>38</v>
      </c>
      <c r="C2">
        <v>10</v>
      </c>
      <c r="D2" s="7">
        <v>0.69799999999999995</v>
      </c>
      <c r="E2" s="7">
        <v>0.66200000000000003</v>
      </c>
      <c r="F2" s="7">
        <v>0.66500000000000004</v>
      </c>
      <c r="G2" s="23">
        <f t="shared" ref="G2:G13" si="0">AVERAGE(D2:F2)</f>
        <v>0.67499999999999993</v>
      </c>
      <c r="H2" s="23">
        <f>G2-CaliCurve!$J$1</f>
        <v>0.59866666666666657</v>
      </c>
      <c r="I2" s="23">
        <f>(-0.0068449 + SQRT(0.0068449^2 - 4*(-0.000007514)*(-0.0094273 - H2))) / (2*-0.000007514)</f>
        <v>99.764957933376678</v>
      </c>
      <c r="J2" s="23">
        <f>I2*4</f>
        <v>399.05983173350671</v>
      </c>
      <c r="K2" s="23">
        <f>J2/C2</f>
        <v>39.90598317335067</v>
      </c>
    </row>
    <row r="3" spans="1:13" x14ac:dyDescent="0.2">
      <c r="A3">
        <v>2</v>
      </c>
      <c r="B3" t="s">
        <v>38</v>
      </c>
      <c r="C3">
        <v>10</v>
      </c>
      <c r="D3" s="8">
        <v>0.85299999999999998</v>
      </c>
      <c r="E3" s="9">
        <v>0.73899999999999999</v>
      </c>
      <c r="F3" s="7">
        <v>0.69799999999999995</v>
      </c>
      <c r="G3" s="23">
        <f t="shared" si="0"/>
        <v>0.76333333333333331</v>
      </c>
      <c r="H3" s="23">
        <f>G3-CaliCurve!$J$1</f>
        <v>0.68699999999999994</v>
      </c>
      <c r="I3" s="23">
        <f t="shared" ref="I3:I13" si="1">(-0.0068449 + SQRT(0.0068449^2 - 4*(-0.000007514)*(-0.0094273 - H3))) / (2*-0.000007514)</f>
        <v>116.69210586789144</v>
      </c>
      <c r="J3" s="23">
        <f t="shared" ref="J3:J13" si="2">I3*4</f>
        <v>466.76842347156577</v>
      </c>
      <c r="K3" s="23">
        <f t="shared" ref="K3:K13" si="3">J3/C3</f>
        <v>46.67684234715658</v>
      </c>
    </row>
    <row r="4" spans="1:13" ht="11.25" customHeight="1" x14ac:dyDescent="0.2">
      <c r="A4">
        <v>3</v>
      </c>
      <c r="B4" t="s">
        <v>38</v>
      </c>
      <c r="C4">
        <v>10</v>
      </c>
      <c r="D4" s="8">
        <v>0.85499999999999998</v>
      </c>
      <c r="E4" s="9">
        <v>0.74399999999999999</v>
      </c>
      <c r="F4" s="9">
        <v>0.749</v>
      </c>
      <c r="G4" s="23">
        <f t="shared" si="0"/>
        <v>0.78266666666666662</v>
      </c>
      <c r="H4" s="23">
        <f>G4-CaliCurve!$J$1</f>
        <v>0.70633333333333326</v>
      </c>
      <c r="I4" s="23">
        <f t="shared" si="1"/>
        <v>120.51099373374149</v>
      </c>
      <c r="J4" s="23">
        <f t="shared" si="2"/>
        <v>482.04397493496595</v>
      </c>
      <c r="K4" s="23">
        <f t="shared" si="3"/>
        <v>48.204397493496593</v>
      </c>
    </row>
    <row r="5" spans="1:13" x14ac:dyDescent="0.2">
      <c r="A5">
        <v>4</v>
      </c>
      <c r="B5" t="s">
        <v>38</v>
      </c>
      <c r="C5">
        <v>10</v>
      </c>
      <c r="D5" s="16">
        <v>0.62</v>
      </c>
      <c r="E5" s="16">
        <v>0.63100000000000001</v>
      </c>
      <c r="F5" s="9">
        <v>0.72</v>
      </c>
      <c r="G5" s="23">
        <f t="shared" si="0"/>
        <v>0.65699999999999992</v>
      </c>
      <c r="H5" s="23">
        <f>G5-CaliCurve!$J$1</f>
        <v>0.58066666666666655</v>
      </c>
      <c r="I5" s="23">
        <f t="shared" si="1"/>
        <v>96.413511261178201</v>
      </c>
      <c r="J5" s="23">
        <f t="shared" si="2"/>
        <v>385.6540450447128</v>
      </c>
      <c r="K5" s="23">
        <f t="shared" si="3"/>
        <v>38.565404504471282</v>
      </c>
    </row>
    <row r="6" spans="1:13" x14ac:dyDescent="0.2">
      <c r="A6">
        <v>5</v>
      </c>
      <c r="B6" t="s">
        <v>38</v>
      </c>
      <c r="C6">
        <v>10</v>
      </c>
      <c r="D6" s="16">
        <v>0.63300000000000001</v>
      </c>
      <c r="E6" s="16">
        <v>0.59499999999999997</v>
      </c>
      <c r="F6" s="16">
        <v>0.55600000000000005</v>
      </c>
      <c r="G6" s="23">
        <f t="shared" si="0"/>
        <v>0.59466666666666668</v>
      </c>
      <c r="H6" s="23">
        <f>G6-CaliCurve!$J$1</f>
        <v>0.51833333333333331</v>
      </c>
      <c r="I6" s="23">
        <f t="shared" si="1"/>
        <v>85.041813315526582</v>
      </c>
      <c r="J6" s="23">
        <f t="shared" si="2"/>
        <v>340.16725326210633</v>
      </c>
      <c r="K6" s="23">
        <f t="shared" si="3"/>
        <v>34.016725326210633</v>
      </c>
    </row>
    <row r="7" spans="1:13" x14ac:dyDescent="0.2">
      <c r="A7">
        <v>6</v>
      </c>
      <c r="B7" t="s">
        <v>38</v>
      </c>
      <c r="C7">
        <v>10</v>
      </c>
      <c r="D7" s="8">
        <v>0.81599999999999995</v>
      </c>
      <c r="E7" s="9">
        <v>0.76600000000000001</v>
      </c>
      <c r="F7" s="8">
        <v>0.81200000000000006</v>
      </c>
      <c r="G7" s="23">
        <f t="shared" si="0"/>
        <v>0.79800000000000004</v>
      </c>
      <c r="H7" s="23">
        <f>G7-CaliCurve!$J$1</f>
        <v>0.72166666666666668</v>
      </c>
      <c r="I7" s="23">
        <f t="shared" si="1"/>
        <v>123.57100925499157</v>
      </c>
      <c r="J7" s="23">
        <f t="shared" si="2"/>
        <v>494.28403701996626</v>
      </c>
      <c r="K7" s="23">
        <f t="shared" si="3"/>
        <v>49.428403701996629</v>
      </c>
    </row>
    <row r="8" spans="1:13" x14ac:dyDescent="0.2">
      <c r="A8">
        <v>7</v>
      </c>
      <c r="B8" t="s">
        <v>39</v>
      </c>
      <c r="C8">
        <v>10</v>
      </c>
      <c r="D8" s="8">
        <v>0.84099999999999997</v>
      </c>
      <c r="E8" s="8">
        <v>0.81299999999999994</v>
      </c>
      <c r="F8" s="9">
        <v>0.78200000000000003</v>
      </c>
      <c r="G8" s="23">
        <f t="shared" si="0"/>
        <v>0.81199999999999994</v>
      </c>
      <c r="H8" s="23">
        <f>G8-CaliCurve!$J$1</f>
        <v>0.73566666666666658</v>
      </c>
      <c r="I8" s="23">
        <f t="shared" si="1"/>
        <v>126.38978535411813</v>
      </c>
      <c r="J8" s="23">
        <f t="shared" si="2"/>
        <v>505.55914141647253</v>
      </c>
      <c r="K8" s="23">
        <f t="shared" si="3"/>
        <v>50.55591414164725</v>
      </c>
    </row>
    <row r="9" spans="1:13" x14ac:dyDescent="0.2">
      <c r="A9">
        <v>8</v>
      </c>
      <c r="B9" t="s">
        <v>39</v>
      </c>
      <c r="C9">
        <v>10</v>
      </c>
      <c r="D9" s="8">
        <v>0.83</v>
      </c>
      <c r="E9" s="9">
        <v>0.75</v>
      </c>
      <c r="F9" s="7">
        <v>0.67800000000000005</v>
      </c>
      <c r="G9" s="23">
        <f t="shared" si="0"/>
        <v>0.75266666666666671</v>
      </c>
      <c r="H9" s="23">
        <f>G9-CaliCurve!$J$1</f>
        <v>0.67633333333333334</v>
      </c>
      <c r="I9" s="23">
        <f t="shared" si="1"/>
        <v>114.60344695042532</v>
      </c>
      <c r="J9" s="23">
        <f t="shared" si="2"/>
        <v>458.41378780170129</v>
      </c>
      <c r="K9" s="23">
        <f t="shared" si="3"/>
        <v>45.841378780170132</v>
      </c>
    </row>
    <row r="10" spans="1:13" x14ac:dyDescent="0.2">
      <c r="A10">
        <v>9</v>
      </c>
      <c r="B10" t="s">
        <v>39</v>
      </c>
      <c r="C10">
        <v>10</v>
      </c>
      <c r="D10" s="9">
        <v>0.78</v>
      </c>
      <c r="E10" s="8">
        <v>0.83599999999999997</v>
      </c>
      <c r="F10" s="7">
        <v>0.69299999999999995</v>
      </c>
      <c r="G10" s="23">
        <f t="shared" si="0"/>
        <v>0.76966666666666672</v>
      </c>
      <c r="H10" s="23">
        <f>G10-CaliCurve!$J$1</f>
        <v>0.69333333333333336</v>
      </c>
      <c r="I10" s="23">
        <f t="shared" si="1"/>
        <v>117.93836218040205</v>
      </c>
      <c r="J10" s="23">
        <f t="shared" si="2"/>
        <v>471.75344872160821</v>
      </c>
      <c r="K10" s="23">
        <f t="shared" si="3"/>
        <v>47.175344872160821</v>
      </c>
    </row>
    <row r="11" spans="1:13" x14ac:dyDescent="0.2">
      <c r="A11">
        <v>10</v>
      </c>
      <c r="B11" t="s">
        <v>39</v>
      </c>
      <c r="C11">
        <v>10</v>
      </c>
      <c r="D11" s="9">
        <v>0.73199999999999998</v>
      </c>
      <c r="E11" s="9">
        <v>0.72899999999999998</v>
      </c>
      <c r="F11" s="7">
        <v>0.71499999999999997</v>
      </c>
      <c r="G11" s="23">
        <f t="shared" si="0"/>
        <v>0.72533333333333327</v>
      </c>
      <c r="H11" s="23">
        <f>G11-CaliCurve!$J$1</f>
        <v>0.64899999999999991</v>
      </c>
      <c r="I11" s="23">
        <f t="shared" si="1"/>
        <v>109.30877613578561</v>
      </c>
      <c r="J11" s="23">
        <f t="shared" si="2"/>
        <v>437.23510454314243</v>
      </c>
      <c r="K11" s="23">
        <f t="shared" si="3"/>
        <v>43.723510454314244</v>
      </c>
    </row>
    <row r="12" spans="1:13" x14ac:dyDescent="0.2">
      <c r="A12">
        <v>11</v>
      </c>
      <c r="B12" t="s">
        <v>39</v>
      </c>
      <c r="C12">
        <v>10</v>
      </c>
      <c r="D12" s="7">
        <v>0.70099999999999996</v>
      </c>
      <c r="E12" s="7">
        <v>0.68</v>
      </c>
      <c r="F12" s="9">
        <v>0.74199999999999999</v>
      </c>
      <c r="G12" s="23">
        <f t="shared" si="0"/>
        <v>0.70766666666666678</v>
      </c>
      <c r="H12" s="23">
        <f>G12-CaliCurve!$J$1</f>
        <v>0.63133333333333341</v>
      </c>
      <c r="I12" s="23">
        <f t="shared" si="1"/>
        <v>105.9292783903049</v>
      </c>
      <c r="J12" s="23">
        <f t="shared" si="2"/>
        <v>423.71711356121961</v>
      </c>
      <c r="K12" s="23">
        <f t="shared" si="3"/>
        <v>42.371711356121963</v>
      </c>
    </row>
    <row r="13" spans="1:13" x14ac:dyDescent="0.2">
      <c r="A13">
        <v>12</v>
      </c>
      <c r="B13" t="s">
        <v>39</v>
      </c>
      <c r="C13">
        <v>14</v>
      </c>
      <c r="D13" s="12">
        <v>1.22</v>
      </c>
      <c r="E13" s="17">
        <v>1.0049999999999999</v>
      </c>
      <c r="F13" s="18">
        <v>0.90300000000000002</v>
      </c>
      <c r="G13" s="23">
        <f t="shared" si="0"/>
        <v>1.0426666666666666</v>
      </c>
      <c r="H13" s="23">
        <f>G13-CaliCurve!$J$1</f>
        <v>0.96633333333333327</v>
      </c>
      <c r="I13" s="23">
        <f t="shared" si="1"/>
        <v>176.90907917729263</v>
      </c>
      <c r="J13" s="23">
        <f t="shared" si="2"/>
        <v>707.6363167091705</v>
      </c>
      <c r="K13" s="23">
        <f t="shared" si="3"/>
        <v>50.545451193512179</v>
      </c>
      <c r="M13" t="s">
        <v>67</v>
      </c>
    </row>
    <row r="22" spans="2:2" x14ac:dyDescent="0.2">
      <c r="B22"/>
    </row>
  </sheetData>
  <conditionalFormatting sqref="D2:F1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RawData</vt:lpstr>
      <vt:lpstr>loadout</vt:lpstr>
      <vt:lpstr>CaliCurve</vt:lpstr>
      <vt:lpstr>calculates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Liel Uziahu</cp:lastModifiedBy>
  <dcterms:created xsi:type="dcterms:W3CDTF">2011-01-18T20:51:17Z</dcterms:created>
  <dcterms:modified xsi:type="dcterms:W3CDTF">2026-07-11T14:31:53Z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