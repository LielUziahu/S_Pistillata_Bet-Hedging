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G:\Shared drives\CSMS_CBP_MassLab\Liel Uziahu\GitHub\Stylophora-pistillata-FPs\Raw_Data\Resperation\Larvae\"/>
    </mc:Choice>
  </mc:AlternateContent>
  <xr:revisionPtr revIDLastSave="0" documentId="13_ncr:1_{D2BAAE04-1CB8-4964-9D93-3D4F9FACCDEE}" xr6:coauthVersionLast="47" xr6:coauthVersionMax="47" xr10:uidLastSave="{00000000-0000-0000-0000-000000000000}"/>
  <bookViews>
    <workbookView xWindow="5805" yWindow="7365" windowWidth="23340" windowHeight="9555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2" i="1"/>
  <c r="F2" i="1"/>
  <c r="F8" i="1"/>
  <c r="F3" i="1"/>
  <c r="F9" i="1"/>
  <c r="F4" i="1"/>
  <c r="F10" i="1"/>
  <c r="F5" i="1"/>
  <c r="F11" i="1"/>
  <c r="F6" i="1"/>
  <c r="F12" i="1"/>
  <c r="F7" i="1"/>
  <c r="F13" i="1"/>
  <c r="G2" i="1"/>
  <c r="G8" i="1"/>
  <c r="G3" i="1"/>
  <c r="G9" i="1"/>
  <c r="G4" i="1"/>
  <c r="G10" i="1"/>
  <c r="G5" i="1"/>
  <c r="G11" i="1"/>
  <c r="G6" i="1"/>
  <c r="G12" i="1"/>
  <c r="G7" i="1"/>
  <c r="G13" i="1"/>
</calcChain>
</file>

<file path=xl/sharedStrings.xml><?xml version="1.0" encoding="utf-8"?>
<sst xmlns="http://schemas.openxmlformats.org/spreadsheetml/2006/main" count="32" uniqueCount="22">
  <si>
    <t>sample id</t>
  </si>
  <si>
    <t>slop/min</t>
  </si>
  <si>
    <t>no of planulae</t>
  </si>
  <si>
    <t>Date</t>
  </si>
  <si>
    <t>planula_HF1_1</t>
  </si>
  <si>
    <t>planula_NF_1</t>
  </si>
  <si>
    <t>planula_HF1</t>
  </si>
  <si>
    <t>planula_NF_2</t>
  </si>
  <si>
    <t>planula_HF2</t>
  </si>
  <si>
    <t>planula_NF_3</t>
  </si>
  <si>
    <t>planula_HF3</t>
  </si>
  <si>
    <t>planula_NF_4</t>
  </si>
  <si>
    <t>planula_HF4</t>
  </si>
  <si>
    <t>planula_NF_5</t>
  </si>
  <si>
    <t>planula_HF5</t>
  </si>
  <si>
    <t>planula_NF_6</t>
  </si>
  <si>
    <t>HF</t>
  </si>
  <si>
    <t>NF</t>
  </si>
  <si>
    <t>avg volume</t>
  </si>
  <si>
    <t>rate umol/L/min per planulae</t>
  </si>
  <si>
    <r>
      <t xml:space="preserve">Resperation rate </t>
    </r>
    <r>
      <rPr>
        <sz val="11"/>
        <color theme="1"/>
        <rFont val="Aptos Narrow"/>
        <family val="2"/>
      </rPr>
      <t>µ</t>
    </r>
    <r>
      <rPr>
        <sz val="11"/>
        <color theme="1"/>
        <rFont val="Calibri"/>
        <family val="2"/>
        <scheme val="minor"/>
      </rPr>
      <t>mol/mm3/min</t>
    </r>
  </si>
  <si>
    <t>morph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</si>
</sst>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1C232"/>
        <bgColor rgb="FFF1C232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64" fontId="0" fillId="0" borderId="0" xfId="0" applyNumberFormat="1"/>
    <xf numFmtId="1" fontId="0" fillId="0" borderId="0" xfId="0" applyNumberFormat="1"/>
    <xf numFmtId="14" fontId="0" fillId="0" borderId="0" xfId="0" applyNumberFormat="1"/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3"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CC6600"/>
        </patternFill>
      </fill>
    </dxf>
  </dxfs>
  <tableStyles count="0" defaultTableStyle="TableStyleMedium2" defaultPivotStyle="PivotStyleLight16"/>
  <colors>
    <mruColors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H2" sqref="H2"/>
    </sheetView>
  </sheetViews>
  <sheetFormatPr defaultRowHeight="15" x14ac:dyDescent="0.25"/>
  <cols>
    <col min="1" max="1" width="10.7109375" bestFit="1" customWidth="1"/>
    <col min="2" max="2" width="19.28515625" customWidth="1"/>
    <col min="3" max="3" width="15.140625" customWidth="1"/>
    <col min="4" max="4" width="22.42578125" customWidth="1"/>
    <col min="5" max="5" width="22.7109375" customWidth="1"/>
    <col min="6" max="6" width="29.7109375" customWidth="1"/>
    <col min="7" max="8" width="21.7109375" customWidth="1"/>
    <col min="9" max="9" width="29.7109375" customWidth="1"/>
  </cols>
  <sheetData>
    <row r="1" spans="1:8" ht="15.75" thickBot="1" x14ac:dyDescent="0.3">
      <c r="A1" t="s">
        <v>3</v>
      </c>
      <c r="B1" t="s">
        <v>0</v>
      </c>
      <c r="C1" t="s">
        <v>1</v>
      </c>
      <c r="D1" t="s">
        <v>21</v>
      </c>
      <c r="E1" t="s">
        <v>2</v>
      </c>
      <c r="F1" t="s">
        <v>19</v>
      </c>
      <c r="G1" t="s">
        <v>18</v>
      </c>
      <c r="H1" t="s">
        <v>20</v>
      </c>
    </row>
    <row r="2" spans="1:8" ht="15.75" thickBot="1" x14ac:dyDescent="0.3">
      <c r="A2" s="4">
        <v>45755</v>
      </c>
      <c r="B2" s="5" t="s">
        <v>4</v>
      </c>
      <c r="C2">
        <v>1.7384818916929368</v>
      </c>
      <c r="D2" s="1" t="s">
        <v>16</v>
      </c>
      <c r="E2" s="3">
        <v>8</v>
      </c>
      <c r="F2">
        <f t="shared" ref="F2:F13" si="0">C2/E2</f>
        <v>0.2173102364616171</v>
      </c>
      <c r="G2" t="str">
        <f t="shared" ref="G2:G13" si="1">IF(D2="HF", "0.371", "0.322")</f>
        <v>0.371</v>
      </c>
      <c r="H2" s="2">
        <f>F2/G2</f>
        <v>0.58574187725503257</v>
      </c>
    </row>
    <row r="3" spans="1:8" ht="15.75" thickBot="1" x14ac:dyDescent="0.3">
      <c r="A3" s="4">
        <v>45755</v>
      </c>
      <c r="B3" s="5" t="s">
        <v>6</v>
      </c>
      <c r="C3">
        <v>1.6601295420739688</v>
      </c>
      <c r="D3" s="1" t="s">
        <v>16</v>
      </c>
      <c r="E3" s="3">
        <v>8</v>
      </c>
      <c r="F3">
        <f t="shared" si="0"/>
        <v>0.2075161927592461</v>
      </c>
      <c r="G3" t="str">
        <f t="shared" si="1"/>
        <v>0.371</v>
      </c>
      <c r="H3" s="2">
        <f t="shared" ref="H3:H13" si="2">F3/G3</f>
        <v>0.55934283762600023</v>
      </c>
    </row>
    <row r="4" spans="1:8" ht="15.75" thickBot="1" x14ac:dyDescent="0.3">
      <c r="A4" s="4">
        <v>45755</v>
      </c>
      <c r="B4" s="5" t="s">
        <v>8</v>
      </c>
      <c r="C4">
        <v>2.4807424146748907</v>
      </c>
      <c r="D4" s="1" t="s">
        <v>16</v>
      </c>
      <c r="E4" s="3">
        <v>8</v>
      </c>
      <c r="F4">
        <f t="shared" si="0"/>
        <v>0.31009280183436133</v>
      </c>
      <c r="G4" t="str">
        <f t="shared" si="1"/>
        <v>0.371</v>
      </c>
      <c r="H4" s="2">
        <f t="shared" si="2"/>
        <v>0.83582965454005753</v>
      </c>
    </row>
    <row r="5" spans="1:8" ht="15.75" thickBot="1" x14ac:dyDescent="0.3">
      <c r="A5" s="4">
        <v>45755</v>
      </c>
      <c r="B5" s="5" t="s">
        <v>10</v>
      </c>
      <c r="C5">
        <v>1.0913396889142764</v>
      </c>
      <c r="D5" s="1" t="s">
        <v>16</v>
      </c>
      <c r="E5" s="3">
        <v>8</v>
      </c>
      <c r="F5">
        <f t="shared" si="0"/>
        <v>0.13641746111428454</v>
      </c>
      <c r="G5" t="str">
        <f t="shared" si="1"/>
        <v>0.371</v>
      </c>
      <c r="H5" s="2">
        <f t="shared" si="2"/>
        <v>0.36770205152098262</v>
      </c>
    </row>
    <row r="6" spans="1:8" ht="15.75" thickBot="1" x14ac:dyDescent="0.3">
      <c r="A6" s="4">
        <v>45755</v>
      </c>
      <c r="B6" s="5" t="s">
        <v>12</v>
      </c>
      <c r="C6">
        <v>2.3375645928918511</v>
      </c>
      <c r="D6" s="1" t="s">
        <v>16</v>
      </c>
      <c r="E6" s="3">
        <v>8</v>
      </c>
      <c r="F6">
        <f t="shared" si="0"/>
        <v>0.29219557411148139</v>
      </c>
      <c r="G6" t="str">
        <f t="shared" si="1"/>
        <v>0.371</v>
      </c>
      <c r="H6" s="2">
        <f t="shared" si="2"/>
        <v>0.7875891485484674</v>
      </c>
    </row>
    <row r="7" spans="1:8" ht="15.75" thickBot="1" x14ac:dyDescent="0.3">
      <c r="A7" s="4">
        <v>45755</v>
      </c>
      <c r="B7" s="5" t="s">
        <v>14</v>
      </c>
      <c r="C7">
        <v>2.5037741520059718</v>
      </c>
      <c r="D7" s="1" t="s">
        <v>16</v>
      </c>
      <c r="E7" s="3">
        <v>8</v>
      </c>
      <c r="F7">
        <f t="shared" si="0"/>
        <v>0.31297176900074647</v>
      </c>
      <c r="G7" t="str">
        <f t="shared" si="1"/>
        <v>0.371</v>
      </c>
      <c r="H7" s="2">
        <f t="shared" si="2"/>
        <v>0.84358967385645944</v>
      </c>
    </row>
    <row r="8" spans="1:8" ht="15.75" thickBot="1" x14ac:dyDescent="0.3">
      <c r="A8" s="4">
        <v>45755</v>
      </c>
      <c r="B8" s="5" t="s">
        <v>5</v>
      </c>
      <c r="C8">
        <v>1.5760614993335478</v>
      </c>
      <c r="D8" s="1" t="s">
        <v>17</v>
      </c>
      <c r="E8" s="3">
        <v>8</v>
      </c>
      <c r="F8">
        <f t="shared" si="0"/>
        <v>0.19700768741669347</v>
      </c>
      <c r="G8" t="str">
        <f t="shared" si="1"/>
        <v>0.322</v>
      </c>
      <c r="H8" s="2">
        <f t="shared" si="2"/>
        <v>0.6118251162009114</v>
      </c>
    </row>
    <row r="9" spans="1:8" ht="15.75" thickBot="1" x14ac:dyDescent="0.3">
      <c r="A9" s="4">
        <v>45755</v>
      </c>
      <c r="B9" s="5" t="s">
        <v>7</v>
      </c>
      <c r="C9">
        <v>0.58716384481386974</v>
      </c>
      <c r="D9" s="1" t="s">
        <v>17</v>
      </c>
      <c r="E9" s="3">
        <v>8</v>
      </c>
      <c r="F9">
        <f t="shared" si="0"/>
        <v>7.3395480601733717E-2</v>
      </c>
      <c r="G9" t="str">
        <f t="shared" si="1"/>
        <v>0.322</v>
      </c>
      <c r="H9" s="2">
        <f t="shared" si="2"/>
        <v>0.22793627516066373</v>
      </c>
    </row>
    <row r="10" spans="1:8" ht="15.75" thickBot="1" x14ac:dyDescent="0.3">
      <c r="A10" s="4">
        <v>45755</v>
      </c>
      <c r="B10" s="5" t="s">
        <v>9</v>
      </c>
      <c r="C10">
        <v>2.9201113099089762</v>
      </c>
      <c r="D10" s="1" t="s">
        <v>17</v>
      </c>
      <c r="E10" s="3">
        <v>8</v>
      </c>
      <c r="F10">
        <f t="shared" si="0"/>
        <v>0.36501391373862202</v>
      </c>
      <c r="G10" t="str">
        <f t="shared" si="1"/>
        <v>0.322</v>
      </c>
      <c r="H10" s="2">
        <f t="shared" si="2"/>
        <v>1.1335835830391987</v>
      </c>
    </row>
    <row r="11" spans="1:8" ht="15.75" thickBot="1" x14ac:dyDescent="0.3">
      <c r="A11" s="4">
        <v>45755</v>
      </c>
      <c r="B11" s="5" t="s">
        <v>11</v>
      </c>
      <c r="C11">
        <v>3.5027719138054048</v>
      </c>
      <c r="D11" s="1" t="s">
        <v>17</v>
      </c>
      <c r="E11" s="3">
        <v>8</v>
      </c>
      <c r="F11">
        <f t="shared" si="0"/>
        <v>0.43784648922567559</v>
      </c>
      <c r="G11" t="str">
        <f t="shared" si="1"/>
        <v>0.322</v>
      </c>
      <c r="H11" s="2">
        <f t="shared" si="2"/>
        <v>1.3597717056698</v>
      </c>
    </row>
    <row r="12" spans="1:8" ht="15.75" thickBot="1" x14ac:dyDescent="0.3">
      <c r="A12" s="4">
        <v>45755</v>
      </c>
      <c r="B12" s="5" t="s">
        <v>13</v>
      </c>
      <c r="C12">
        <v>0.90005669357000306</v>
      </c>
      <c r="D12" s="1" t="s">
        <v>17</v>
      </c>
      <c r="E12" s="3">
        <v>8</v>
      </c>
      <c r="F12">
        <f t="shared" si="0"/>
        <v>0.11250708669625038</v>
      </c>
      <c r="G12" t="str">
        <f t="shared" si="1"/>
        <v>0.322</v>
      </c>
      <c r="H12" s="2">
        <f t="shared" si="2"/>
        <v>0.34940089036102601</v>
      </c>
    </row>
    <row r="13" spans="1:8" ht="15.75" thickBot="1" x14ac:dyDescent="0.3">
      <c r="A13" s="4">
        <v>45755</v>
      </c>
      <c r="B13" s="5" t="s">
        <v>15</v>
      </c>
      <c r="C13">
        <v>2.2841819534827326</v>
      </c>
      <c r="D13" s="1" t="s">
        <v>17</v>
      </c>
      <c r="E13" s="3">
        <v>8</v>
      </c>
      <c r="F13">
        <f t="shared" si="0"/>
        <v>0.28552274418534157</v>
      </c>
      <c r="G13" t="str">
        <f t="shared" si="1"/>
        <v>0.322</v>
      </c>
      <c r="H13" s="2">
        <f t="shared" si="2"/>
        <v>0.88671659684888682</v>
      </c>
    </row>
  </sheetData>
  <autoFilter ref="A1:I1" xr:uid="{00000000-0001-0000-0000-000000000000}">
    <sortState xmlns:xlrd2="http://schemas.microsoft.com/office/spreadsheetml/2017/richdata2" ref="A2:I28">
      <sortCondition ref="A1"/>
    </sortState>
  </autoFilter>
  <conditionalFormatting sqref="D2:D13">
    <cfRule type="containsText" dxfId="2" priority="1" operator="containsText" text="NF">
      <formula>NOT(ISERROR(SEARCH("NF",D2)))</formula>
    </cfRule>
    <cfRule type="containsText" dxfId="1" priority="2" operator="containsText" text="HF">
      <formula>NOT(ISERROR(SEARCH("HF",D2)))</formula>
    </cfRule>
    <cfRule type="containsText" dxfId="0" priority="3" operator="containsText" text="PF">
      <formula>NOT(ISERROR(SEARCH("PF",D2)))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Liel Uziahu</dc:creator>
  <cp:lastModifiedBy>Liel Uziahu</cp:lastModifiedBy>
  <dcterms:created xsi:type="dcterms:W3CDTF">2015-06-05T18:17:20Z</dcterms:created>
  <dcterms:modified xsi:type="dcterms:W3CDTF">2025-11-29T21:35:13Z</dcterms:modified>
</cp:coreProperties>
</file>