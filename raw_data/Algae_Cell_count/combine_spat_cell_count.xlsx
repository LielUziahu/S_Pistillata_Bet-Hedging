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Stylophora-pistillata-FPs\Raw_Data\Algae_Cell_count\"/>
    </mc:Choice>
  </mc:AlternateContent>
  <xr:revisionPtr revIDLastSave="0" documentId="13_ncr:1_{05BCB612-9D96-43E4-9EAA-986757EE1C72}" xr6:coauthVersionLast="47" xr6:coauthVersionMax="47" xr10:uidLastSave="{00000000-0000-0000-0000-000000000000}"/>
  <bookViews>
    <workbookView xWindow="5070" yWindow="5070" windowWidth="21990" windowHeight="12345" xr2:uid="{00000000-000D-0000-FFFF-FFFF00000000}"/>
  </bookViews>
  <sheets>
    <sheet name="Sheet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2" i="5"/>
</calcChain>
</file>

<file path=xl/sharedStrings.xml><?xml version="1.0" encoding="utf-8"?>
<sst xmlns="http://schemas.openxmlformats.org/spreadsheetml/2006/main" count="244" uniqueCount="18">
  <si>
    <t>Sample No</t>
  </si>
  <si>
    <t>Count1</t>
  </si>
  <si>
    <t>Count2</t>
  </si>
  <si>
    <t>Count3</t>
  </si>
  <si>
    <t>Count4</t>
  </si>
  <si>
    <t>Average</t>
  </si>
  <si>
    <t>Conc (Cells/mL)</t>
  </si>
  <si>
    <t>Dark</t>
  </si>
  <si>
    <t>50m</t>
  </si>
  <si>
    <t>morph</t>
  </si>
  <si>
    <t>temp</t>
  </si>
  <si>
    <t>pH</t>
  </si>
  <si>
    <t>light</t>
  </si>
  <si>
    <t>10m</t>
  </si>
  <si>
    <t>HF</t>
  </si>
  <si>
    <t>NF</t>
  </si>
  <si>
    <t>no of polyps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</si>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</sst>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AE27-1292-4F10-9500-D48CB1BDBD01}">
  <dimension ref="A1:N117"/>
  <sheetViews>
    <sheetView tabSelected="1" topLeftCell="A88" workbookViewId="0">
      <selection activeCell="D104" sqref="D104"/>
    </sheetView>
  </sheetViews>
  <sheetFormatPr defaultRowHeight="15" x14ac:dyDescent="0.25"/>
  <sheetData>
    <row r="1" spans="1:13" ht="15.75" thickBot="1" x14ac:dyDescent="0.3">
      <c r="A1" t="s">
        <v>0</v>
      </c>
      <c r="B1" t="s">
        <v>9</v>
      </c>
      <c r="C1" t="s">
        <v>16</v>
      </c>
      <c r="D1" t="s">
        <v>10</v>
      </c>
      <c r="E1" t="s">
        <v>11</v>
      </c>
      <c r="F1" t="s">
        <v>12</v>
      </c>
      <c r="G1" t="s">
        <v>6</v>
      </c>
      <c r="I1" t="s">
        <v>5</v>
      </c>
      <c r="J1" t="s">
        <v>1</v>
      </c>
      <c r="K1" t="s">
        <v>2</v>
      </c>
      <c r="L1" t="s">
        <v>3</v>
      </c>
      <c r="M1" t="s">
        <v>4</v>
      </c>
    </row>
    <row r="2" spans="1:13" ht="15.75" thickBot="1" x14ac:dyDescent="0.3">
      <c r="A2">
        <v>401</v>
      </c>
      <c r="B2" s="2" t="s">
        <v>14</v>
      </c>
      <c r="C2" s="6">
        <v>1</v>
      </c>
      <c r="D2">
        <v>32</v>
      </c>
      <c r="E2">
        <v>8.1999999999999993</v>
      </c>
      <c r="F2" s="5" t="s">
        <v>13</v>
      </c>
      <c r="G2">
        <f>I2*10000</f>
        <v>25000</v>
      </c>
      <c r="H2">
        <f>G2/C2</f>
        <v>25000</v>
      </c>
      <c r="I2">
        <f>AVERAGE(J2:R2)</f>
        <v>2.5</v>
      </c>
      <c r="J2">
        <v>4</v>
      </c>
      <c r="K2">
        <v>1</v>
      </c>
      <c r="L2">
        <v>4</v>
      </c>
      <c r="M2">
        <v>1</v>
      </c>
    </row>
    <row r="3" spans="1:13" ht="15.75" thickBot="1" x14ac:dyDescent="0.3">
      <c r="A3">
        <v>402</v>
      </c>
      <c r="B3" s="2" t="s">
        <v>15</v>
      </c>
      <c r="C3" s="2">
        <v>3</v>
      </c>
      <c r="D3">
        <v>32</v>
      </c>
      <c r="E3">
        <v>8.1999999999999993</v>
      </c>
      <c r="F3" s="5" t="s">
        <v>13</v>
      </c>
      <c r="G3">
        <f t="shared" ref="G3:G66" si="0">I3*10000</f>
        <v>72500</v>
      </c>
      <c r="H3">
        <f t="shared" ref="H3:H66" si="1">G3/C3</f>
        <v>24166.666666666668</v>
      </c>
      <c r="I3">
        <f t="shared" ref="I3:I66" si="2">AVERAGE(J3:R3)</f>
        <v>7.25</v>
      </c>
      <c r="J3">
        <v>8</v>
      </c>
      <c r="K3">
        <v>7</v>
      </c>
      <c r="L3">
        <v>6</v>
      </c>
      <c r="M3">
        <v>8</v>
      </c>
    </row>
    <row r="4" spans="1:13" ht="15.75" thickBot="1" x14ac:dyDescent="0.3">
      <c r="A4">
        <v>403</v>
      </c>
      <c r="B4" s="2" t="s">
        <v>15</v>
      </c>
      <c r="C4" s="2">
        <v>4</v>
      </c>
      <c r="D4">
        <v>32</v>
      </c>
      <c r="E4">
        <v>8.1999999999999993</v>
      </c>
      <c r="F4" s="5" t="s">
        <v>13</v>
      </c>
      <c r="G4">
        <f t="shared" si="0"/>
        <v>187500</v>
      </c>
      <c r="H4">
        <f t="shared" si="1"/>
        <v>46875</v>
      </c>
      <c r="I4">
        <f t="shared" si="2"/>
        <v>18.75</v>
      </c>
      <c r="J4">
        <v>19</v>
      </c>
      <c r="K4">
        <v>18</v>
      </c>
      <c r="L4">
        <v>20</v>
      </c>
      <c r="M4">
        <v>18</v>
      </c>
    </row>
    <row r="5" spans="1:13" ht="15.75" thickBot="1" x14ac:dyDescent="0.3">
      <c r="A5">
        <v>404</v>
      </c>
      <c r="B5" s="2" t="s">
        <v>14</v>
      </c>
      <c r="C5" s="2">
        <v>4</v>
      </c>
      <c r="D5">
        <v>27</v>
      </c>
      <c r="E5">
        <v>8.1999999999999993</v>
      </c>
      <c r="F5" s="5" t="s">
        <v>13</v>
      </c>
      <c r="G5">
        <f t="shared" si="0"/>
        <v>340000</v>
      </c>
      <c r="H5">
        <f t="shared" si="1"/>
        <v>85000</v>
      </c>
      <c r="I5">
        <f t="shared" si="2"/>
        <v>34</v>
      </c>
      <c r="J5">
        <v>40</v>
      </c>
      <c r="K5">
        <v>34</v>
      </c>
      <c r="L5">
        <v>33</v>
      </c>
      <c r="M5">
        <v>29</v>
      </c>
    </row>
    <row r="6" spans="1:13" ht="15.75" thickBot="1" x14ac:dyDescent="0.3">
      <c r="A6">
        <v>405</v>
      </c>
      <c r="B6" s="2" t="s">
        <v>14</v>
      </c>
      <c r="C6" s="2">
        <v>3</v>
      </c>
      <c r="D6">
        <v>27</v>
      </c>
      <c r="E6">
        <v>8.1999999999999993</v>
      </c>
      <c r="F6" s="5" t="s">
        <v>13</v>
      </c>
      <c r="G6">
        <f t="shared" si="0"/>
        <v>390000</v>
      </c>
      <c r="H6">
        <f t="shared" si="1"/>
        <v>130000</v>
      </c>
      <c r="I6">
        <f t="shared" si="2"/>
        <v>39</v>
      </c>
      <c r="J6">
        <v>30</v>
      </c>
      <c r="K6">
        <v>48</v>
      </c>
      <c r="L6">
        <v>40</v>
      </c>
      <c r="M6">
        <v>38</v>
      </c>
    </row>
    <row r="7" spans="1:13" ht="15.75" thickBot="1" x14ac:dyDescent="0.3">
      <c r="A7">
        <v>406</v>
      </c>
      <c r="B7" s="2" t="s">
        <v>14</v>
      </c>
      <c r="C7" s="2">
        <v>3</v>
      </c>
      <c r="D7">
        <v>27</v>
      </c>
      <c r="E7">
        <v>8.1999999999999993</v>
      </c>
      <c r="F7" s="5" t="s">
        <v>13</v>
      </c>
      <c r="G7">
        <f t="shared" si="0"/>
        <v>437500</v>
      </c>
      <c r="H7">
        <f t="shared" si="1"/>
        <v>145833.33333333334</v>
      </c>
      <c r="I7">
        <f t="shared" si="2"/>
        <v>43.75</v>
      </c>
      <c r="J7">
        <v>31</v>
      </c>
      <c r="K7">
        <v>51</v>
      </c>
      <c r="L7">
        <v>42</v>
      </c>
      <c r="M7">
        <v>51</v>
      </c>
    </row>
    <row r="8" spans="1:13" ht="15.75" thickBot="1" x14ac:dyDescent="0.3">
      <c r="A8">
        <v>407</v>
      </c>
      <c r="B8" s="2" t="s">
        <v>14</v>
      </c>
      <c r="C8" s="2">
        <v>3</v>
      </c>
      <c r="D8">
        <v>27</v>
      </c>
      <c r="E8">
        <v>8.1999999999999993</v>
      </c>
      <c r="F8" s="5" t="s">
        <v>13</v>
      </c>
      <c r="G8">
        <f t="shared" si="0"/>
        <v>40000</v>
      </c>
      <c r="H8">
        <f t="shared" si="1"/>
        <v>13333.333333333334</v>
      </c>
      <c r="I8">
        <f t="shared" si="2"/>
        <v>4</v>
      </c>
      <c r="J8">
        <v>3</v>
      </c>
      <c r="K8">
        <v>9</v>
      </c>
      <c r="L8">
        <v>1</v>
      </c>
      <c r="M8">
        <v>3</v>
      </c>
    </row>
    <row r="9" spans="1:13" ht="15.75" thickBot="1" x14ac:dyDescent="0.3">
      <c r="A9">
        <v>408</v>
      </c>
      <c r="B9" s="2" t="s">
        <v>14</v>
      </c>
      <c r="C9" s="2">
        <v>3</v>
      </c>
      <c r="D9">
        <v>27</v>
      </c>
      <c r="E9">
        <v>8.1999999999999993</v>
      </c>
      <c r="F9" s="5" t="s">
        <v>13</v>
      </c>
      <c r="G9">
        <f t="shared" si="0"/>
        <v>190000</v>
      </c>
      <c r="H9">
        <f t="shared" si="1"/>
        <v>63333.333333333336</v>
      </c>
      <c r="I9">
        <f t="shared" si="2"/>
        <v>19</v>
      </c>
      <c r="J9">
        <v>13</v>
      </c>
      <c r="K9">
        <v>23</v>
      </c>
      <c r="L9">
        <v>20</v>
      </c>
      <c r="M9">
        <v>20</v>
      </c>
    </row>
    <row r="10" spans="1:13" ht="15.75" thickBot="1" x14ac:dyDescent="0.3">
      <c r="A10">
        <v>409</v>
      </c>
      <c r="B10" s="2" t="s">
        <v>15</v>
      </c>
      <c r="C10" s="2">
        <v>4</v>
      </c>
      <c r="D10">
        <v>27</v>
      </c>
      <c r="E10">
        <v>8.1999999999999993</v>
      </c>
      <c r="F10" s="5" t="s">
        <v>13</v>
      </c>
      <c r="G10">
        <f t="shared" si="0"/>
        <v>502500</v>
      </c>
      <c r="H10">
        <f t="shared" si="1"/>
        <v>125625</v>
      </c>
      <c r="I10">
        <f t="shared" si="2"/>
        <v>50.25</v>
      </c>
      <c r="J10">
        <v>50</v>
      </c>
      <c r="K10">
        <v>57</v>
      </c>
      <c r="L10">
        <v>54</v>
      </c>
      <c r="M10">
        <v>40</v>
      </c>
    </row>
    <row r="11" spans="1:13" ht="15.75" thickBot="1" x14ac:dyDescent="0.3">
      <c r="A11">
        <v>410</v>
      </c>
      <c r="B11" s="2" t="s">
        <v>15</v>
      </c>
      <c r="C11" s="2">
        <v>4</v>
      </c>
      <c r="D11">
        <v>27</v>
      </c>
      <c r="E11">
        <v>8.1999999999999993</v>
      </c>
      <c r="F11" s="5" t="s">
        <v>13</v>
      </c>
      <c r="G11">
        <f t="shared" si="0"/>
        <v>267500</v>
      </c>
      <c r="H11">
        <f t="shared" si="1"/>
        <v>66875</v>
      </c>
      <c r="I11">
        <f t="shared" si="2"/>
        <v>26.75</v>
      </c>
      <c r="J11">
        <v>30</v>
      </c>
      <c r="K11">
        <v>19</v>
      </c>
      <c r="L11">
        <v>30</v>
      </c>
      <c r="M11">
        <v>28</v>
      </c>
    </row>
    <row r="12" spans="1:13" ht="15.75" thickBot="1" x14ac:dyDescent="0.3">
      <c r="A12">
        <v>411</v>
      </c>
      <c r="B12" s="2" t="s">
        <v>15</v>
      </c>
      <c r="C12" s="2">
        <v>3</v>
      </c>
      <c r="D12">
        <v>27</v>
      </c>
      <c r="E12">
        <v>8.1999999999999993</v>
      </c>
      <c r="F12" s="5" t="s">
        <v>13</v>
      </c>
      <c r="G12">
        <f t="shared" si="0"/>
        <v>205000</v>
      </c>
      <c r="H12">
        <f t="shared" si="1"/>
        <v>68333.333333333328</v>
      </c>
      <c r="I12">
        <f t="shared" si="2"/>
        <v>20.5</v>
      </c>
      <c r="J12">
        <v>20</v>
      </c>
      <c r="K12">
        <v>18</v>
      </c>
      <c r="L12">
        <v>16</v>
      </c>
      <c r="M12">
        <v>28</v>
      </c>
    </row>
    <row r="13" spans="1:13" ht="15.75" thickBot="1" x14ac:dyDescent="0.3">
      <c r="A13">
        <v>412</v>
      </c>
      <c r="B13" s="2" t="s">
        <v>15</v>
      </c>
      <c r="C13" s="2">
        <v>4</v>
      </c>
      <c r="D13">
        <v>27</v>
      </c>
      <c r="E13">
        <v>8.1999999999999993</v>
      </c>
      <c r="F13" s="5" t="s">
        <v>13</v>
      </c>
      <c r="G13">
        <f t="shared" si="0"/>
        <v>495000</v>
      </c>
      <c r="H13">
        <f t="shared" si="1"/>
        <v>123750</v>
      </c>
      <c r="I13">
        <f t="shared" si="2"/>
        <v>49.5</v>
      </c>
      <c r="J13">
        <v>45</v>
      </c>
      <c r="K13">
        <v>58</v>
      </c>
      <c r="L13">
        <v>45</v>
      </c>
      <c r="M13">
        <v>50</v>
      </c>
    </row>
    <row r="14" spans="1:13" ht="15.75" thickBot="1" x14ac:dyDescent="0.3">
      <c r="A14">
        <v>413</v>
      </c>
      <c r="B14" s="2" t="s">
        <v>15</v>
      </c>
      <c r="C14" s="2">
        <v>3</v>
      </c>
      <c r="D14">
        <v>27</v>
      </c>
      <c r="E14">
        <v>8.1999999999999993</v>
      </c>
      <c r="F14" s="5" t="s">
        <v>13</v>
      </c>
      <c r="G14">
        <f t="shared" si="0"/>
        <v>525000</v>
      </c>
      <c r="H14">
        <f t="shared" si="1"/>
        <v>175000</v>
      </c>
      <c r="I14">
        <f t="shared" si="2"/>
        <v>52.5</v>
      </c>
      <c r="J14">
        <v>56</v>
      </c>
      <c r="K14">
        <v>62</v>
      </c>
      <c r="L14">
        <v>38</v>
      </c>
      <c r="M14">
        <v>54</v>
      </c>
    </row>
    <row r="15" spans="1:13" ht="15.75" thickBot="1" x14ac:dyDescent="0.3">
      <c r="A15">
        <v>414</v>
      </c>
      <c r="B15" s="2" t="s">
        <v>15</v>
      </c>
      <c r="C15" s="2">
        <v>3</v>
      </c>
      <c r="D15">
        <v>23</v>
      </c>
      <c r="E15">
        <v>8.1999999999999993</v>
      </c>
      <c r="F15" s="1" t="s">
        <v>7</v>
      </c>
      <c r="G15">
        <f t="shared" si="0"/>
        <v>177500</v>
      </c>
      <c r="H15">
        <f t="shared" si="1"/>
        <v>59166.666666666664</v>
      </c>
      <c r="I15">
        <f t="shared" si="2"/>
        <v>17.75</v>
      </c>
      <c r="J15">
        <v>12</v>
      </c>
      <c r="K15">
        <v>13</v>
      </c>
      <c r="L15">
        <v>23</v>
      </c>
      <c r="M15">
        <v>23</v>
      </c>
    </row>
    <row r="16" spans="1:13" ht="15.75" thickBot="1" x14ac:dyDescent="0.3">
      <c r="A16">
        <v>415</v>
      </c>
      <c r="B16" s="2" t="s">
        <v>15</v>
      </c>
      <c r="C16" s="2">
        <v>4</v>
      </c>
      <c r="D16">
        <v>27</v>
      </c>
      <c r="E16">
        <v>8.1999999999999993</v>
      </c>
      <c r="F16" s="5" t="s">
        <v>13</v>
      </c>
      <c r="G16">
        <f t="shared" si="0"/>
        <v>100000</v>
      </c>
      <c r="H16">
        <f t="shared" si="1"/>
        <v>25000</v>
      </c>
      <c r="I16">
        <f t="shared" si="2"/>
        <v>10</v>
      </c>
      <c r="J16">
        <v>4</v>
      </c>
      <c r="K16">
        <v>14</v>
      </c>
      <c r="L16">
        <v>13</v>
      </c>
      <c r="M16">
        <v>9</v>
      </c>
    </row>
    <row r="17" spans="1:13" ht="15.75" thickBot="1" x14ac:dyDescent="0.3">
      <c r="A17">
        <v>416</v>
      </c>
      <c r="B17" s="2" t="s">
        <v>14</v>
      </c>
      <c r="C17" s="2">
        <v>4</v>
      </c>
      <c r="D17">
        <v>23</v>
      </c>
      <c r="E17">
        <v>8.1999999999999993</v>
      </c>
      <c r="F17" s="1" t="s">
        <v>8</v>
      </c>
      <c r="G17">
        <f t="shared" si="0"/>
        <v>242500</v>
      </c>
      <c r="H17">
        <f t="shared" si="1"/>
        <v>60625</v>
      </c>
      <c r="I17">
        <f t="shared" si="2"/>
        <v>24.25</v>
      </c>
      <c r="J17">
        <v>21</v>
      </c>
      <c r="K17">
        <v>29</v>
      </c>
      <c r="L17">
        <v>24</v>
      </c>
      <c r="M17">
        <v>23</v>
      </c>
    </row>
    <row r="18" spans="1:13" ht="15.75" thickBot="1" x14ac:dyDescent="0.3">
      <c r="A18">
        <v>417</v>
      </c>
      <c r="B18" s="2" t="s">
        <v>14</v>
      </c>
      <c r="C18" s="2">
        <v>4</v>
      </c>
      <c r="D18">
        <v>23</v>
      </c>
      <c r="E18">
        <v>8.1999999999999993</v>
      </c>
      <c r="F18" s="1" t="s">
        <v>8</v>
      </c>
      <c r="G18">
        <f t="shared" si="0"/>
        <v>182500</v>
      </c>
      <c r="H18">
        <f t="shared" si="1"/>
        <v>45625</v>
      </c>
      <c r="I18">
        <f t="shared" si="2"/>
        <v>18.25</v>
      </c>
      <c r="J18">
        <v>11</v>
      </c>
      <c r="K18">
        <v>6</v>
      </c>
      <c r="L18">
        <v>36</v>
      </c>
      <c r="M18">
        <v>20</v>
      </c>
    </row>
    <row r="19" spans="1:13" ht="15.75" thickBot="1" x14ac:dyDescent="0.3">
      <c r="A19">
        <v>418</v>
      </c>
      <c r="B19" s="2" t="s">
        <v>14</v>
      </c>
      <c r="C19" s="2">
        <v>4</v>
      </c>
      <c r="D19">
        <v>23</v>
      </c>
      <c r="E19">
        <v>8.1999999999999993</v>
      </c>
      <c r="F19" s="1" t="s">
        <v>8</v>
      </c>
      <c r="G19">
        <f t="shared" si="0"/>
        <v>95000</v>
      </c>
      <c r="H19">
        <f t="shared" si="1"/>
        <v>23750</v>
      </c>
      <c r="I19">
        <f t="shared" si="2"/>
        <v>9.5</v>
      </c>
      <c r="J19">
        <v>13</v>
      </c>
      <c r="K19">
        <v>6</v>
      </c>
      <c r="L19">
        <v>11</v>
      </c>
      <c r="M19">
        <v>8</v>
      </c>
    </row>
    <row r="20" spans="1:13" ht="15.75" thickBot="1" x14ac:dyDescent="0.3">
      <c r="A20">
        <v>419</v>
      </c>
      <c r="B20" s="2" t="s">
        <v>14</v>
      </c>
      <c r="C20" s="2">
        <v>3</v>
      </c>
      <c r="D20">
        <v>23</v>
      </c>
      <c r="E20">
        <v>8.1999999999999993</v>
      </c>
      <c r="F20" s="1" t="s">
        <v>8</v>
      </c>
      <c r="G20">
        <f t="shared" si="0"/>
        <v>185000</v>
      </c>
      <c r="H20">
        <f t="shared" si="1"/>
        <v>61666.666666666664</v>
      </c>
      <c r="I20">
        <f t="shared" si="2"/>
        <v>18.5</v>
      </c>
      <c r="J20">
        <v>20</v>
      </c>
      <c r="K20">
        <v>21</v>
      </c>
      <c r="L20">
        <v>15</v>
      </c>
      <c r="M20">
        <v>18</v>
      </c>
    </row>
    <row r="21" spans="1:13" ht="15.75" thickBot="1" x14ac:dyDescent="0.3">
      <c r="A21">
        <v>420</v>
      </c>
      <c r="B21" s="2" t="s">
        <v>15</v>
      </c>
      <c r="C21" s="2">
        <v>4</v>
      </c>
      <c r="D21">
        <v>23</v>
      </c>
      <c r="E21">
        <v>8.1999999999999993</v>
      </c>
      <c r="F21" s="1" t="s">
        <v>8</v>
      </c>
      <c r="G21">
        <f t="shared" si="0"/>
        <v>185000</v>
      </c>
      <c r="H21">
        <f t="shared" si="1"/>
        <v>46250</v>
      </c>
      <c r="I21">
        <f t="shared" si="2"/>
        <v>18.5</v>
      </c>
      <c r="J21">
        <v>22</v>
      </c>
      <c r="K21">
        <v>15</v>
      </c>
      <c r="L21">
        <v>21</v>
      </c>
      <c r="M21">
        <v>16</v>
      </c>
    </row>
    <row r="22" spans="1:13" ht="15.75" thickBot="1" x14ac:dyDescent="0.3">
      <c r="A22">
        <v>421</v>
      </c>
      <c r="B22" s="2" t="s">
        <v>15</v>
      </c>
      <c r="C22" s="2">
        <v>3</v>
      </c>
      <c r="D22">
        <v>23</v>
      </c>
      <c r="E22">
        <v>8.1999999999999993</v>
      </c>
      <c r="F22" s="1" t="s">
        <v>8</v>
      </c>
      <c r="G22">
        <f t="shared" si="0"/>
        <v>112500</v>
      </c>
      <c r="H22">
        <f t="shared" si="1"/>
        <v>37500</v>
      </c>
      <c r="I22">
        <f t="shared" si="2"/>
        <v>11.25</v>
      </c>
      <c r="J22">
        <v>19</v>
      </c>
      <c r="K22">
        <v>7</v>
      </c>
      <c r="L22">
        <v>11</v>
      </c>
      <c r="M22">
        <v>8</v>
      </c>
    </row>
    <row r="23" spans="1:13" ht="15.75" thickBot="1" x14ac:dyDescent="0.3">
      <c r="A23">
        <v>422</v>
      </c>
      <c r="B23" s="2" t="s">
        <v>15</v>
      </c>
      <c r="C23" s="2">
        <v>3</v>
      </c>
      <c r="D23">
        <v>23</v>
      </c>
      <c r="E23">
        <v>8.1999999999999993</v>
      </c>
      <c r="F23" s="1" t="s">
        <v>8</v>
      </c>
      <c r="G23">
        <f t="shared" si="0"/>
        <v>85000</v>
      </c>
      <c r="H23">
        <f t="shared" si="1"/>
        <v>28333.333333333332</v>
      </c>
      <c r="I23">
        <f t="shared" si="2"/>
        <v>8.5</v>
      </c>
      <c r="J23">
        <v>12</v>
      </c>
      <c r="K23">
        <v>9</v>
      </c>
      <c r="L23">
        <v>5</v>
      </c>
      <c r="M23">
        <v>8</v>
      </c>
    </row>
    <row r="24" spans="1:13" ht="15.75" thickBot="1" x14ac:dyDescent="0.3">
      <c r="A24">
        <v>423</v>
      </c>
      <c r="B24" s="2" t="s">
        <v>14</v>
      </c>
      <c r="C24" s="2">
        <v>3</v>
      </c>
      <c r="D24">
        <v>23</v>
      </c>
      <c r="E24">
        <v>8.1999999999999993</v>
      </c>
      <c r="F24" s="1" t="s">
        <v>7</v>
      </c>
      <c r="G24">
        <f t="shared" si="0"/>
        <v>80000</v>
      </c>
      <c r="H24">
        <f t="shared" si="1"/>
        <v>26666.666666666668</v>
      </c>
      <c r="I24">
        <f t="shared" si="2"/>
        <v>8</v>
      </c>
      <c r="J24">
        <v>10</v>
      </c>
      <c r="K24">
        <v>9</v>
      </c>
      <c r="L24">
        <v>11</v>
      </c>
      <c r="M24">
        <v>2</v>
      </c>
    </row>
    <row r="25" spans="1:13" ht="15.75" thickBot="1" x14ac:dyDescent="0.3">
      <c r="A25">
        <v>424</v>
      </c>
      <c r="B25" s="2" t="s">
        <v>14</v>
      </c>
      <c r="C25" s="2">
        <v>3</v>
      </c>
      <c r="D25">
        <v>23</v>
      </c>
      <c r="E25">
        <v>8.1999999999999993</v>
      </c>
      <c r="F25" s="1" t="s">
        <v>7</v>
      </c>
      <c r="G25">
        <f t="shared" si="0"/>
        <v>82500</v>
      </c>
      <c r="H25">
        <f t="shared" si="1"/>
        <v>27500</v>
      </c>
      <c r="I25">
        <f t="shared" si="2"/>
        <v>8.25</v>
      </c>
      <c r="J25">
        <v>12</v>
      </c>
      <c r="K25">
        <v>4</v>
      </c>
      <c r="L25">
        <v>10</v>
      </c>
      <c r="M25">
        <v>7</v>
      </c>
    </row>
    <row r="26" spans="1:13" ht="15.75" thickBot="1" x14ac:dyDescent="0.3">
      <c r="A26">
        <v>425</v>
      </c>
      <c r="B26" s="2" t="s">
        <v>14</v>
      </c>
      <c r="C26" s="2">
        <v>3</v>
      </c>
      <c r="D26">
        <v>23</v>
      </c>
      <c r="E26">
        <v>8.1999999999999993</v>
      </c>
      <c r="F26" s="1" t="s">
        <v>7</v>
      </c>
      <c r="G26">
        <f t="shared" si="0"/>
        <v>192500</v>
      </c>
      <c r="H26">
        <f t="shared" si="1"/>
        <v>64166.666666666664</v>
      </c>
      <c r="I26">
        <f t="shared" si="2"/>
        <v>19.25</v>
      </c>
      <c r="J26">
        <v>20</v>
      </c>
      <c r="K26">
        <v>13</v>
      </c>
      <c r="L26">
        <v>22</v>
      </c>
      <c r="M26">
        <v>22</v>
      </c>
    </row>
    <row r="27" spans="1:13" ht="15.75" thickBot="1" x14ac:dyDescent="0.3">
      <c r="A27">
        <v>426</v>
      </c>
      <c r="B27" s="2" t="s">
        <v>15</v>
      </c>
      <c r="C27" s="2">
        <v>3</v>
      </c>
      <c r="D27">
        <v>23</v>
      </c>
      <c r="E27">
        <v>8.1999999999999993</v>
      </c>
      <c r="F27" s="1" t="s">
        <v>7</v>
      </c>
      <c r="G27">
        <f t="shared" si="0"/>
        <v>45000</v>
      </c>
      <c r="H27">
        <f t="shared" si="1"/>
        <v>15000</v>
      </c>
      <c r="I27">
        <f t="shared" si="2"/>
        <v>4.5</v>
      </c>
      <c r="J27">
        <v>5</v>
      </c>
      <c r="K27">
        <v>6</v>
      </c>
      <c r="L27">
        <v>2</v>
      </c>
      <c r="M27">
        <v>5</v>
      </c>
    </row>
    <row r="28" spans="1:13" ht="15.75" thickBot="1" x14ac:dyDescent="0.3">
      <c r="A28">
        <v>427</v>
      </c>
      <c r="B28" s="2" t="s">
        <v>15</v>
      </c>
      <c r="C28" s="2">
        <v>3</v>
      </c>
      <c r="D28">
        <v>23</v>
      </c>
      <c r="E28">
        <v>8.1999999999999993</v>
      </c>
      <c r="F28" s="1" t="s">
        <v>7</v>
      </c>
      <c r="G28">
        <f t="shared" si="0"/>
        <v>40000</v>
      </c>
      <c r="H28">
        <f t="shared" si="1"/>
        <v>13333.333333333334</v>
      </c>
      <c r="I28">
        <f t="shared" si="2"/>
        <v>4</v>
      </c>
      <c r="J28">
        <v>5</v>
      </c>
      <c r="K28">
        <v>5</v>
      </c>
      <c r="L28">
        <v>4</v>
      </c>
      <c r="M28">
        <v>2</v>
      </c>
    </row>
    <row r="29" spans="1:13" ht="15.75" thickBot="1" x14ac:dyDescent="0.3">
      <c r="A29">
        <v>428</v>
      </c>
      <c r="B29" s="2" t="s">
        <v>14</v>
      </c>
      <c r="C29" s="2">
        <v>4</v>
      </c>
      <c r="D29">
        <v>23</v>
      </c>
      <c r="E29">
        <v>8.1999999999999993</v>
      </c>
      <c r="F29" s="4" t="s">
        <v>13</v>
      </c>
      <c r="G29">
        <f t="shared" si="0"/>
        <v>252500</v>
      </c>
      <c r="H29">
        <f t="shared" si="1"/>
        <v>63125</v>
      </c>
      <c r="I29">
        <f t="shared" si="2"/>
        <v>25.25</v>
      </c>
      <c r="J29">
        <v>20</v>
      </c>
      <c r="K29">
        <v>18</v>
      </c>
      <c r="L29">
        <v>35</v>
      </c>
      <c r="M29">
        <v>28</v>
      </c>
    </row>
    <row r="30" spans="1:13" ht="15.75" thickBot="1" x14ac:dyDescent="0.3">
      <c r="A30">
        <v>429</v>
      </c>
      <c r="B30" s="2" t="s">
        <v>14</v>
      </c>
      <c r="C30" s="2">
        <v>3</v>
      </c>
      <c r="D30">
        <v>23</v>
      </c>
      <c r="E30">
        <v>8.1999999999999993</v>
      </c>
      <c r="F30" s="4" t="s">
        <v>13</v>
      </c>
      <c r="G30">
        <f t="shared" si="0"/>
        <v>245000</v>
      </c>
      <c r="H30">
        <f t="shared" si="1"/>
        <v>81666.666666666672</v>
      </c>
      <c r="I30">
        <f t="shared" si="2"/>
        <v>24.5</v>
      </c>
      <c r="J30">
        <v>24</v>
      </c>
      <c r="K30">
        <v>24</v>
      </c>
      <c r="L30">
        <v>19</v>
      </c>
      <c r="M30">
        <v>31</v>
      </c>
    </row>
    <row r="31" spans="1:13" ht="15.75" thickBot="1" x14ac:dyDescent="0.3">
      <c r="A31">
        <v>430</v>
      </c>
      <c r="B31" s="2" t="s">
        <v>14</v>
      </c>
      <c r="C31" s="2">
        <v>4</v>
      </c>
      <c r="D31">
        <v>23</v>
      </c>
      <c r="E31">
        <v>8.1999999999999993</v>
      </c>
      <c r="F31" s="4" t="s">
        <v>13</v>
      </c>
      <c r="G31">
        <f t="shared" si="0"/>
        <v>247500</v>
      </c>
      <c r="H31">
        <f t="shared" si="1"/>
        <v>61875</v>
      </c>
      <c r="I31">
        <f t="shared" si="2"/>
        <v>24.75</v>
      </c>
      <c r="J31">
        <v>27</v>
      </c>
      <c r="K31">
        <v>20</v>
      </c>
      <c r="L31">
        <v>24</v>
      </c>
      <c r="M31">
        <v>28</v>
      </c>
    </row>
    <row r="32" spans="1:13" ht="15.75" thickBot="1" x14ac:dyDescent="0.3">
      <c r="A32">
        <v>431</v>
      </c>
      <c r="B32" s="2" t="s">
        <v>14</v>
      </c>
      <c r="C32" s="2">
        <v>2</v>
      </c>
      <c r="D32">
        <v>23</v>
      </c>
      <c r="E32">
        <v>8.1999999999999993</v>
      </c>
      <c r="F32" s="4" t="s">
        <v>13</v>
      </c>
      <c r="G32">
        <f t="shared" si="0"/>
        <v>75000</v>
      </c>
      <c r="H32">
        <f t="shared" si="1"/>
        <v>37500</v>
      </c>
      <c r="I32">
        <f t="shared" si="2"/>
        <v>7.5</v>
      </c>
      <c r="J32">
        <v>10</v>
      </c>
      <c r="K32">
        <v>7</v>
      </c>
      <c r="L32">
        <v>7</v>
      </c>
      <c r="M32">
        <v>6</v>
      </c>
    </row>
    <row r="33" spans="1:13" ht="15.75" thickBot="1" x14ac:dyDescent="0.3">
      <c r="A33">
        <v>432</v>
      </c>
      <c r="B33" s="2" t="s">
        <v>15</v>
      </c>
      <c r="C33" s="2">
        <v>2</v>
      </c>
      <c r="D33">
        <v>23</v>
      </c>
      <c r="E33">
        <v>8.1999999999999993</v>
      </c>
      <c r="F33" s="4" t="s">
        <v>13</v>
      </c>
      <c r="G33">
        <f t="shared" si="0"/>
        <v>142500</v>
      </c>
      <c r="H33">
        <f t="shared" si="1"/>
        <v>71250</v>
      </c>
      <c r="I33">
        <f t="shared" si="2"/>
        <v>14.25</v>
      </c>
      <c r="J33">
        <v>9</v>
      </c>
      <c r="K33">
        <v>13</v>
      </c>
      <c r="L33">
        <v>15</v>
      </c>
      <c r="M33">
        <v>20</v>
      </c>
    </row>
    <row r="34" spans="1:13" ht="15.75" thickBot="1" x14ac:dyDescent="0.3">
      <c r="A34">
        <v>433</v>
      </c>
      <c r="B34" s="2" t="s">
        <v>15</v>
      </c>
      <c r="C34" s="2">
        <v>3</v>
      </c>
      <c r="D34">
        <v>23</v>
      </c>
      <c r="E34">
        <v>8.1999999999999993</v>
      </c>
      <c r="F34" s="4" t="s">
        <v>13</v>
      </c>
      <c r="G34">
        <f t="shared" si="0"/>
        <v>152500</v>
      </c>
      <c r="H34">
        <f t="shared" si="1"/>
        <v>50833.333333333336</v>
      </c>
      <c r="I34">
        <f t="shared" si="2"/>
        <v>15.25</v>
      </c>
      <c r="J34">
        <v>21</v>
      </c>
      <c r="K34">
        <v>18</v>
      </c>
      <c r="L34">
        <v>10</v>
      </c>
      <c r="M34">
        <v>12</v>
      </c>
    </row>
    <row r="35" spans="1:13" ht="15.75" thickBot="1" x14ac:dyDescent="0.3">
      <c r="A35">
        <v>434</v>
      </c>
      <c r="B35" s="2" t="s">
        <v>15</v>
      </c>
      <c r="C35" s="2">
        <v>3</v>
      </c>
      <c r="D35">
        <v>23</v>
      </c>
      <c r="E35">
        <v>8.1999999999999993</v>
      </c>
      <c r="F35" s="4" t="s">
        <v>13</v>
      </c>
      <c r="G35">
        <f t="shared" si="0"/>
        <v>112500</v>
      </c>
      <c r="H35">
        <f t="shared" si="1"/>
        <v>37500</v>
      </c>
      <c r="I35">
        <f t="shared" si="2"/>
        <v>11.25</v>
      </c>
      <c r="J35">
        <v>12</v>
      </c>
      <c r="K35">
        <v>11</v>
      </c>
      <c r="L35">
        <v>13</v>
      </c>
      <c r="M35">
        <v>9</v>
      </c>
    </row>
    <row r="36" spans="1:13" ht="15.75" thickBot="1" x14ac:dyDescent="0.3">
      <c r="A36">
        <v>435</v>
      </c>
      <c r="B36" s="2" t="s">
        <v>14</v>
      </c>
      <c r="C36" s="2">
        <v>3</v>
      </c>
      <c r="D36">
        <v>23</v>
      </c>
      <c r="E36" s="3">
        <v>7.8</v>
      </c>
      <c r="F36" s="4" t="s">
        <v>13</v>
      </c>
      <c r="G36">
        <f t="shared" si="0"/>
        <v>422500</v>
      </c>
      <c r="H36">
        <f t="shared" si="1"/>
        <v>140833.33333333334</v>
      </c>
      <c r="I36">
        <f t="shared" si="2"/>
        <v>42.25</v>
      </c>
      <c r="J36">
        <v>46</v>
      </c>
      <c r="K36">
        <v>45</v>
      </c>
      <c r="L36">
        <v>51</v>
      </c>
      <c r="M36">
        <v>27</v>
      </c>
    </row>
    <row r="37" spans="1:13" ht="15.75" thickBot="1" x14ac:dyDescent="0.3">
      <c r="A37">
        <v>436</v>
      </c>
      <c r="B37" s="2" t="s">
        <v>14</v>
      </c>
      <c r="C37" s="2">
        <v>3</v>
      </c>
      <c r="D37">
        <v>23</v>
      </c>
      <c r="E37" s="3">
        <v>7.8</v>
      </c>
      <c r="F37" s="4" t="s">
        <v>13</v>
      </c>
      <c r="G37">
        <f t="shared" si="0"/>
        <v>237500</v>
      </c>
      <c r="H37">
        <f t="shared" si="1"/>
        <v>79166.666666666672</v>
      </c>
      <c r="I37">
        <f t="shared" si="2"/>
        <v>23.75</v>
      </c>
      <c r="J37">
        <v>25</v>
      </c>
      <c r="K37">
        <v>23</v>
      </c>
      <c r="L37">
        <v>26</v>
      </c>
      <c r="M37">
        <v>21</v>
      </c>
    </row>
    <row r="38" spans="1:13" ht="15.75" thickBot="1" x14ac:dyDescent="0.3">
      <c r="A38">
        <v>437</v>
      </c>
      <c r="B38" s="2" t="s">
        <v>14</v>
      </c>
      <c r="C38" s="2">
        <v>3</v>
      </c>
      <c r="D38">
        <v>23</v>
      </c>
      <c r="E38" s="3">
        <v>7.8</v>
      </c>
      <c r="F38" s="4" t="s">
        <v>13</v>
      </c>
      <c r="G38">
        <f t="shared" si="0"/>
        <v>427500</v>
      </c>
      <c r="H38">
        <f t="shared" si="1"/>
        <v>142500</v>
      </c>
      <c r="I38">
        <f t="shared" si="2"/>
        <v>42.75</v>
      </c>
      <c r="J38">
        <v>43</v>
      </c>
      <c r="K38">
        <v>45</v>
      </c>
      <c r="L38">
        <v>36</v>
      </c>
      <c r="M38">
        <v>47</v>
      </c>
    </row>
    <row r="39" spans="1:13" ht="15.75" thickBot="1" x14ac:dyDescent="0.3">
      <c r="A39">
        <v>438</v>
      </c>
      <c r="B39" s="2" t="s">
        <v>14</v>
      </c>
      <c r="C39" s="2">
        <v>2</v>
      </c>
      <c r="D39">
        <v>23</v>
      </c>
      <c r="E39" s="3">
        <v>7.8</v>
      </c>
      <c r="F39" s="4" t="s">
        <v>13</v>
      </c>
      <c r="G39">
        <f t="shared" si="0"/>
        <v>35000</v>
      </c>
      <c r="H39">
        <f t="shared" si="1"/>
        <v>17500</v>
      </c>
      <c r="I39">
        <f t="shared" si="2"/>
        <v>3.5</v>
      </c>
      <c r="J39">
        <v>3</v>
      </c>
      <c r="K39">
        <v>3</v>
      </c>
      <c r="L39">
        <v>3</v>
      </c>
      <c r="M39">
        <v>5</v>
      </c>
    </row>
    <row r="40" spans="1:13" ht="15.75" thickBot="1" x14ac:dyDescent="0.3">
      <c r="A40">
        <v>439</v>
      </c>
      <c r="B40" s="2" t="s">
        <v>14</v>
      </c>
      <c r="C40" s="2">
        <v>3</v>
      </c>
      <c r="D40">
        <v>23</v>
      </c>
      <c r="E40" s="3">
        <v>7.8</v>
      </c>
      <c r="F40" s="4" t="s">
        <v>13</v>
      </c>
      <c r="G40">
        <f t="shared" si="0"/>
        <v>112500</v>
      </c>
      <c r="H40">
        <f t="shared" si="1"/>
        <v>37500</v>
      </c>
      <c r="I40">
        <f t="shared" si="2"/>
        <v>11.25</v>
      </c>
      <c r="J40">
        <v>14</v>
      </c>
      <c r="K40">
        <v>13</v>
      </c>
      <c r="L40">
        <v>10</v>
      </c>
      <c r="M40">
        <v>8</v>
      </c>
    </row>
    <row r="41" spans="1:13" ht="15.75" thickBot="1" x14ac:dyDescent="0.3">
      <c r="A41">
        <v>440</v>
      </c>
      <c r="B41" s="2" t="s">
        <v>15</v>
      </c>
      <c r="C41" s="2">
        <v>3</v>
      </c>
      <c r="D41">
        <v>23</v>
      </c>
      <c r="E41" s="3">
        <v>7.8</v>
      </c>
      <c r="F41" s="4" t="s">
        <v>13</v>
      </c>
      <c r="G41">
        <f t="shared" si="0"/>
        <v>312500</v>
      </c>
      <c r="H41">
        <f t="shared" si="1"/>
        <v>104166.66666666667</v>
      </c>
      <c r="I41">
        <f t="shared" si="2"/>
        <v>31.25</v>
      </c>
      <c r="J41">
        <v>37</v>
      </c>
      <c r="K41">
        <v>25</v>
      </c>
      <c r="L41">
        <v>30</v>
      </c>
      <c r="M41">
        <v>33</v>
      </c>
    </row>
    <row r="42" spans="1:13" ht="15.75" thickBot="1" x14ac:dyDescent="0.3">
      <c r="A42">
        <v>441</v>
      </c>
      <c r="B42" s="2" t="s">
        <v>15</v>
      </c>
      <c r="C42" s="2">
        <v>3</v>
      </c>
      <c r="D42">
        <v>23</v>
      </c>
      <c r="E42" s="3">
        <v>7.8</v>
      </c>
      <c r="F42" s="4" t="s">
        <v>13</v>
      </c>
      <c r="G42">
        <f t="shared" si="0"/>
        <v>305000</v>
      </c>
      <c r="H42">
        <f t="shared" si="1"/>
        <v>101666.66666666667</v>
      </c>
      <c r="I42">
        <f t="shared" si="2"/>
        <v>30.5</v>
      </c>
      <c r="J42">
        <v>31</v>
      </c>
      <c r="K42">
        <v>33</v>
      </c>
      <c r="L42">
        <v>28</v>
      </c>
      <c r="M42">
        <v>30</v>
      </c>
    </row>
    <row r="43" spans="1:13" ht="15.75" thickBot="1" x14ac:dyDescent="0.3">
      <c r="A43">
        <v>442</v>
      </c>
      <c r="B43" s="2" t="s">
        <v>15</v>
      </c>
      <c r="C43" s="2">
        <v>3</v>
      </c>
      <c r="D43">
        <v>23</v>
      </c>
      <c r="E43" s="3">
        <v>7.8</v>
      </c>
      <c r="F43" s="4" t="s">
        <v>13</v>
      </c>
      <c r="G43">
        <f t="shared" si="0"/>
        <v>310000</v>
      </c>
      <c r="H43">
        <f t="shared" si="1"/>
        <v>103333.33333333333</v>
      </c>
      <c r="I43">
        <f t="shared" si="2"/>
        <v>31</v>
      </c>
      <c r="J43">
        <v>34</v>
      </c>
      <c r="K43">
        <v>32</v>
      </c>
      <c r="L43">
        <v>31</v>
      </c>
      <c r="M43">
        <v>27</v>
      </c>
    </row>
    <row r="44" spans="1:13" ht="15.75" thickBot="1" x14ac:dyDescent="0.3">
      <c r="A44">
        <v>443</v>
      </c>
      <c r="B44" s="2" t="s">
        <v>14</v>
      </c>
      <c r="C44" s="2">
        <v>3</v>
      </c>
      <c r="D44">
        <v>23</v>
      </c>
      <c r="E44" s="3">
        <v>7.6</v>
      </c>
      <c r="F44" s="4" t="s">
        <v>13</v>
      </c>
      <c r="G44">
        <f t="shared" si="0"/>
        <v>40000</v>
      </c>
      <c r="H44">
        <f t="shared" si="1"/>
        <v>13333.333333333334</v>
      </c>
      <c r="I44">
        <f t="shared" si="2"/>
        <v>4</v>
      </c>
      <c r="J44">
        <v>5</v>
      </c>
      <c r="K44">
        <v>4</v>
      </c>
      <c r="L44">
        <v>5</v>
      </c>
      <c r="M44">
        <v>2</v>
      </c>
    </row>
    <row r="45" spans="1:13" ht="15.75" thickBot="1" x14ac:dyDescent="0.3">
      <c r="A45">
        <v>444</v>
      </c>
      <c r="B45" s="2" t="s">
        <v>14</v>
      </c>
      <c r="C45" s="2">
        <v>3</v>
      </c>
      <c r="D45">
        <v>23</v>
      </c>
      <c r="E45" s="3">
        <v>7.6</v>
      </c>
      <c r="F45" s="4" t="s">
        <v>13</v>
      </c>
      <c r="G45">
        <f t="shared" si="0"/>
        <v>292500</v>
      </c>
      <c r="H45">
        <f t="shared" si="1"/>
        <v>97500</v>
      </c>
      <c r="I45">
        <f t="shared" si="2"/>
        <v>29.25</v>
      </c>
      <c r="J45">
        <v>28</v>
      </c>
      <c r="K45">
        <v>23</v>
      </c>
      <c r="L45">
        <v>27</v>
      </c>
      <c r="M45">
        <v>39</v>
      </c>
    </row>
    <row r="46" spans="1:13" ht="15.75" thickBot="1" x14ac:dyDescent="0.3">
      <c r="A46">
        <v>445</v>
      </c>
      <c r="B46" s="2" t="s">
        <v>14</v>
      </c>
      <c r="C46" s="2">
        <v>4</v>
      </c>
      <c r="D46">
        <v>23</v>
      </c>
      <c r="E46" s="3">
        <v>7.6</v>
      </c>
      <c r="F46" s="4" t="s">
        <v>13</v>
      </c>
      <c r="G46">
        <f t="shared" si="0"/>
        <v>315000</v>
      </c>
      <c r="H46">
        <f t="shared" si="1"/>
        <v>78750</v>
      </c>
      <c r="I46">
        <f t="shared" si="2"/>
        <v>31.5</v>
      </c>
      <c r="J46">
        <v>28</v>
      </c>
      <c r="K46">
        <v>24</v>
      </c>
      <c r="L46">
        <v>33</v>
      </c>
      <c r="M46">
        <v>41</v>
      </c>
    </row>
    <row r="47" spans="1:13" ht="15.75" thickBot="1" x14ac:dyDescent="0.3">
      <c r="A47">
        <v>446</v>
      </c>
      <c r="B47" s="2" t="s">
        <v>14</v>
      </c>
      <c r="C47" s="2">
        <v>4</v>
      </c>
      <c r="D47">
        <v>23</v>
      </c>
      <c r="E47" s="3">
        <v>7.6</v>
      </c>
      <c r="F47" s="4" t="s">
        <v>13</v>
      </c>
      <c r="G47">
        <f t="shared" si="0"/>
        <v>275000</v>
      </c>
      <c r="H47">
        <f t="shared" si="1"/>
        <v>68750</v>
      </c>
      <c r="I47">
        <f t="shared" si="2"/>
        <v>27.5</v>
      </c>
      <c r="J47">
        <v>29</v>
      </c>
      <c r="K47">
        <v>37</v>
      </c>
      <c r="L47">
        <v>21</v>
      </c>
      <c r="M47">
        <v>23</v>
      </c>
    </row>
    <row r="48" spans="1:13" ht="15.75" thickBot="1" x14ac:dyDescent="0.3">
      <c r="A48">
        <v>447</v>
      </c>
      <c r="B48" s="2" t="s">
        <v>15</v>
      </c>
      <c r="C48" s="2">
        <v>3</v>
      </c>
      <c r="D48">
        <v>23</v>
      </c>
      <c r="E48" s="3">
        <v>7.6</v>
      </c>
      <c r="F48" s="4" t="s">
        <v>13</v>
      </c>
      <c r="G48">
        <f t="shared" si="0"/>
        <v>190000</v>
      </c>
      <c r="H48">
        <f t="shared" si="1"/>
        <v>63333.333333333336</v>
      </c>
      <c r="I48">
        <f t="shared" si="2"/>
        <v>19</v>
      </c>
      <c r="J48">
        <v>17</v>
      </c>
      <c r="K48">
        <v>20</v>
      </c>
      <c r="L48">
        <v>20</v>
      </c>
      <c r="M48">
        <v>19</v>
      </c>
    </row>
    <row r="49" spans="1:13" ht="15.75" thickBot="1" x14ac:dyDescent="0.3">
      <c r="A49">
        <v>448</v>
      </c>
      <c r="B49" s="2" t="s">
        <v>15</v>
      </c>
      <c r="C49" s="2">
        <v>3</v>
      </c>
      <c r="D49">
        <v>23</v>
      </c>
      <c r="E49" s="3">
        <v>7.6</v>
      </c>
      <c r="F49" s="4" t="s">
        <v>13</v>
      </c>
      <c r="G49">
        <f t="shared" si="0"/>
        <v>420000</v>
      </c>
      <c r="H49">
        <f t="shared" si="1"/>
        <v>140000</v>
      </c>
      <c r="I49">
        <f t="shared" si="2"/>
        <v>42</v>
      </c>
      <c r="J49">
        <v>48</v>
      </c>
      <c r="K49">
        <v>45</v>
      </c>
      <c r="L49">
        <v>39</v>
      </c>
      <c r="M49">
        <v>36</v>
      </c>
    </row>
    <row r="50" spans="1:13" ht="15.75" thickBot="1" x14ac:dyDescent="0.3">
      <c r="A50">
        <v>449</v>
      </c>
      <c r="B50" s="2" t="s">
        <v>14</v>
      </c>
      <c r="C50" s="2">
        <v>3</v>
      </c>
      <c r="D50">
        <v>23</v>
      </c>
      <c r="E50" s="3">
        <v>8.1999999999999993</v>
      </c>
      <c r="F50" s="4" t="s">
        <v>13</v>
      </c>
      <c r="G50">
        <f t="shared" si="0"/>
        <v>45000</v>
      </c>
      <c r="H50">
        <f t="shared" si="1"/>
        <v>15000</v>
      </c>
      <c r="I50">
        <f t="shared" si="2"/>
        <v>4.5</v>
      </c>
      <c r="J50">
        <v>5</v>
      </c>
      <c r="K50">
        <v>7</v>
      </c>
      <c r="L50">
        <v>3</v>
      </c>
      <c r="M50">
        <v>3</v>
      </c>
    </row>
    <row r="51" spans="1:13" ht="15.75" thickBot="1" x14ac:dyDescent="0.3">
      <c r="A51">
        <v>450</v>
      </c>
      <c r="B51" s="2" t="s">
        <v>14</v>
      </c>
      <c r="C51" s="2">
        <v>4</v>
      </c>
      <c r="D51">
        <v>23</v>
      </c>
      <c r="E51" s="3">
        <v>8.1999999999999993</v>
      </c>
      <c r="F51" s="4" t="s">
        <v>13</v>
      </c>
      <c r="G51">
        <f t="shared" si="0"/>
        <v>135000</v>
      </c>
      <c r="H51">
        <f t="shared" si="1"/>
        <v>33750</v>
      </c>
      <c r="I51">
        <f t="shared" si="2"/>
        <v>13.5</v>
      </c>
      <c r="J51">
        <v>15</v>
      </c>
      <c r="K51">
        <v>14</v>
      </c>
      <c r="L51">
        <v>16</v>
      </c>
      <c r="M51">
        <v>9</v>
      </c>
    </row>
    <row r="52" spans="1:13" ht="15.75" thickBot="1" x14ac:dyDescent="0.3">
      <c r="A52">
        <v>451</v>
      </c>
      <c r="B52" s="2" t="s">
        <v>14</v>
      </c>
      <c r="C52" s="2">
        <v>4</v>
      </c>
      <c r="D52">
        <v>23</v>
      </c>
      <c r="E52" s="3">
        <v>8.1999999999999993</v>
      </c>
      <c r="F52" s="4" t="s">
        <v>13</v>
      </c>
      <c r="G52">
        <f t="shared" si="0"/>
        <v>120000</v>
      </c>
      <c r="H52">
        <f t="shared" si="1"/>
        <v>30000</v>
      </c>
      <c r="I52">
        <f t="shared" si="2"/>
        <v>12</v>
      </c>
      <c r="J52">
        <v>13</v>
      </c>
      <c r="K52">
        <v>11</v>
      </c>
      <c r="L52">
        <v>8</v>
      </c>
      <c r="M52">
        <v>16</v>
      </c>
    </row>
    <row r="53" spans="1:13" ht="15.75" thickBot="1" x14ac:dyDescent="0.3">
      <c r="A53">
        <v>452</v>
      </c>
      <c r="B53" s="2" t="s">
        <v>14</v>
      </c>
      <c r="C53" s="2">
        <v>3</v>
      </c>
      <c r="D53">
        <v>23</v>
      </c>
      <c r="E53" s="3">
        <v>8.1999999999999993</v>
      </c>
      <c r="F53" s="4" t="s">
        <v>13</v>
      </c>
      <c r="G53">
        <f t="shared" si="0"/>
        <v>125000</v>
      </c>
      <c r="H53">
        <f t="shared" si="1"/>
        <v>41666.666666666664</v>
      </c>
      <c r="I53">
        <f t="shared" si="2"/>
        <v>12.5</v>
      </c>
      <c r="J53">
        <v>14</v>
      </c>
      <c r="K53">
        <v>14</v>
      </c>
      <c r="L53">
        <v>11</v>
      </c>
      <c r="M53">
        <v>11</v>
      </c>
    </row>
    <row r="54" spans="1:13" ht="15.75" thickBot="1" x14ac:dyDescent="0.3">
      <c r="A54">
        <v>453</v>
      </c>
      <c r="B54" s="2" t="s">
        <v>14</v>
      </c>
      <c r="C54" s="2">
        <v>3</v>
      </c>
      <c r="D54">
        <v>23</v>
      </c>
      <c r="E54" s="3">
        <v>8.1999999999999993</v>
      </c>
      <c r="F54" s="4" t="s">
        <v>13</v>
      </c>
      <c r="G54">
        <f t="shared" si="0"/>
        <v>80000</v>
      </c>
      <c r="H54">
        <f t="shared" si="1"/>
        <v>26666.666666666668</v>
      </c>
      <c r="I54">
        <f t="shared" si="2"/>
        <v>8</v>
      </c>
      <c r="J54">
        <v>5</v>
      </c>
      <c r="K54">
        <v>3</v>
      </c>
      <c r="L54">
        <v>17</v>
      </c>
      <c r="M54">
        <v>7</v>
      </c>
    </row>
    <row r="55" spans="1:13" ht="15.75" thickBot="1" x14ac:dyDescent="0.3">
      <c r="A55">
        <v>454</v>
      </c>
      <c r="B55" s="2" t="s">
        <v>15</v>
      </c>
      <c r="C55" s="2">
        <v>3</v>
      </c>
      <c r="D55">
        <v>23</v>
      </c>
      <c r="E55" s="3">
        <v>8.1999999999999993</v>
      </c>
      <c r="F55" s="4" t="s">
        <v>13</v>
      </c>
      <c r="G55">
        <f t="shared" si="0"/>
        <v>160000</v>
      </c>
      <c r="H55">
        <f t="shared" si="1"/>
        <v>53333.333333333336</v>
      </c>
      <c r="I55">
        <f t="shared" si="2"/>
        <v>16</v>
      </c>
      <c r="J55">
        <v>15</v>
      </c>
      <c r="K55">
        <v>12</v>
      </c>
      <c r="L55">
        <v>17</v>
      </c>
      <c r="M55">
        <v>20</v>
      </c>
    </row>
    <row r="56" spans="1:13" ht="15.75" thickBot="1" x14ac:dyDescent="0.3">
      <c r="A56">
        <v>455</v>
      </c>
      <c r="B56" s="2" t="s">
        <v>15</v>
      </c>
      <c r="C56" s="2">
        <v>3</v>
      </c>
      <c r="D56">
        <v>23</v>
      </c>
      <c r="E56" s="3">
        <v>8.1999999999999993</v>
      </c>
      <c r="F56" s="4" t="s">
        <v>13</v>
      </c>
      <c r="G56">
        <f t="shared" si="0"/>
        <v>60000</v>
      </c>
      <c r="H56">
        <f t="shared" si="1"/>
        <v>20000</v>
      </c>
      <c r="I56">
        <f t="shared" si="2"/>
        <v>6</v>
      </c>
      <c r="J56">
        <v>6</v>
      </c>
      <c r="K56">
        <v>8</v>
      </c>
      <c r="L56">
        <v>6</v>
      </c>
      <c r="M56">
        <v>4</v>
      </c>
    </row>
    <row r="57" spans="1:13" ht="15.75" thickBot="1" x14ac:dyDescent="0.3">
      <c r="A57">
        <v>456</v>
      </c>
      <c r="B57" s="2" t="s">
        <v>15</v>
      </c>
      <c r="C57" s="2">
        <v>3</v>
      </c>
      <c r="D57">
        <v>23</v>
      </c>
      <c r="E57" s="3">
        <v>8.1999999999999993</v>
      </c>
      <c r="F57" s="4" t="s">
        <v>13</v>
      </c>
      <c r="G57">
        <f t="shared" si="0"/>
        <v>72500</v>
      </c>
      <c r="H57">
        <f t="shared" si="1"/>
        <v>24166.666666666668</v>
      </c>
      <c r="I57">
        <f t="shared" si="2"/>
        <v>7.25</v>
      </c>
      <c r="J57">
        <v>7</v>
      </c>
      <c r="K57">
        <v>13</v>
      </c>
      <c r="L57">
        <v>5</v>
      </c>
      <c r="M57">
        <v>4</v>
      </c>
    </row>
    <row r="58" spans="1:13" x14ac:dyDescent="0.25">
      <c r="A58">
        <v>50</v>
      </c>
      <c r="B58" t="s">
        <v>15</v>
      </c>
      <c r="C58">
        <v>2</v>
      </c>
      <c r="D58">
        <v>23</v>
      </c>
      <c r="E58" s="7">
        <v>8.1999999999999993</v>
      </c>
      <c r="F58" t="s">
        <v>13</v>
      </c>
      <c r="G58">
        <f t="shared" si="0"/>
        <v>37500</v>
      </c>
      <c r="H58">
        <f t="shared" si="1"/>
        <v>18750</v>
      </c>
      <c r="I58">
        <f t="shared" si="2"/>
        <v>3.75</v>
      </c>
      <c r="J58">
        <v>2</v>
      </c>
      <c r="K58">
        <v>5</v>
      </c>
      <c r="L58">
        <v>3</v>
      </c>
      <c r="M58">
        <v>5</v>
      </c>
    </row>
    <row r="59" spans="1:13" x14ac:dyDescent="0.25">
      <c r="A59">
        <v>51</v>
      </c>
      <c r="B59" t="s">
        <v>14</v>
      </c>
      <c r="C59">
        <v>3</v>
      </c>
      <c r="D59">
        <v>23</v>
      </c>
      <c r="E59" s="7">
        <v>8.1999999999999993</v>
      </c>
      <c r="F59" t="s">
        <v>13</v>
      </c>
      <c r="G59">
        <f t="shared" si="0"/>
        <v>182500</v>
      </c>
      <c r="H59">
        <f t="shared" si="1"/>
        <v>60833.333333333336</v>
      </c>
      <c r="I59">
        <f t="shared" si="2"/>
        <v>18.25</v>
      </c>
      <c r="J59">
        <v>12</v>
      </c>
      <c r="K59">
        <v>22</v>
      </c>
      <c r="L59">
        <v>26</v>
      </c>
      <c r="M59">
        <v>13</v>
      </c>
    </row>
    <row r="60" spans="1:13" x14ac:dyDescent="0.25">
      <c r="A60">
        <v>52</v>
      </c>
      <c r="B60" t="s">
        <v>14</v>
      </c>
      <c r="C60">
        <v>3</v>
      </c>
      <c r="D60">
        <v>23</v>
      </c>
      <c r="E60" s="7">
        <v>8.1999999999999993</v>
      </c>
      <c r="F60" t="s">
        <v>13</v>
      </c>
      <c r="G60">
        <f t="shared" si="0"/>
        <v>322500</v>
      </c>
      <c r="H60">
        <f t="shared" si="1"/>
        <v>107500</v>
      </c>
      <c r="I60">
        <f t="shared" si="2"/>
        <v>32.25</v>
      </c>
      <c r="J60">
        <v>37</v>
      </c>
      <c r="K60">
        <v>27</v>
      </c>
      <c r="L60">
        <v>28</v>
      </c>
      <c r="M60">
        <v>37</v>
      </c>
    </row>
    <row r="61" spans="1:13" x14ac:dyDescent="0.25">
      <c r="A61">
        <v>53</v>
      </c>
      <c r="B61" t="s">
        <v>15</v>
      </c>
      <c r="C61">
        <v>2</v>
      </c>
      <c r="D61">
        <v>23</v>
      </c>
      <c r="E61" s="7">
        <v>8.1999999999999993</v>
      </c>
      <c r="F61" t="s">
        <v>13</v>
      </c>
      <c r="G61">
        <f t="shared" si="0"/>
        <v>87500</v>
      </c>
      <c r="H61">
        <f t="shared" si="1"/>
        <v>43750</v>
      </c>
      <c r="I61">
        <f t="shared" si="2"/>
        <v>8.75</v>
      </c>
      <c r="J61">
        <v>10</v>
      </c>
      <c r="K61">
        <v>9</v>
      </c>
      <c r="L61">
        <v>3</v>
      </c>
      <c r="M61">
        <v>13</v>
      </c>
    </row>
    <row r="62" spans="1:13" x14ac:dyDescent="0.25">
      <c r="A62">
        <v>54</v>
      </c>
      <c r="B62" t="s">
        <v>15</v>
      </c>
      <c r="C62">
        <v>3</v>
      </c>
      <c r="D62">
        <v>23</v>
      </c>
      <c r="E62" s="7">
        <v>8.1999999999999993</v>
      </c>
      <c r="F62" t="s">
        <v>13</v>
      </c>
      <c r="G62">
        <f t="shared" si="0"/>
        <v>215000</v>
      </c>
      <c r="H62">
        <f t="shared" si="1"/>
        <v>71666.666666666672</v>
      </c>
      <c r="I62">
        <f t="shared" si="2"/>
        <v>21.5</v>
      </c>
      <c r="J62">
        <v>26</v>
      </c>
      <c r="K62">
        <v>23</v>
      </c>
      <c r="L62">
        <v>17</v>
      </c>
      <c r="M62">
        <v>20</v>
      </c>
    </row>
    <row r="63" spans="1:13" x14ac:dyDescent="0.25">
      <c r="A63">
        <v>55</v>
      </c>
      <c r="B63" t="s">
        <v>14</v>
      </c>
      <c r="C63">
        <v>2</v>
      </c>
      <c r="D63">
        <v>23</v>
      </c>
      <c r="E63" s="7">
        <v>8.1999999999999993</v>
      </c>
      <c r="F63" t="s">
        <v>13</v>
      </c>
      <c r="G63">
        <f t="shared" si="0"/>
        <v>112500</v>
      </c>
      <c r="H63">
        <f t="shared" si="1"/>
        <v>56250</v>
      </c>
      <c r="I63">
        <f t="shared" si="2"/>
        <v>11.25</v>
      </c>
      <c r="J63">
        <v>6</v>
      </c>
      <c r="K63">
        <v>10</v>
      </c>
      <c r="L63">
        <v>13</v>
      </c>
      <c r="M63">
        <v>16</v>
      </c>
    </row>
    <row r="64" spans="1:13" x14ac:dyDescent="0.25">
      <c r="A64">
        <v>56</v>
      </c>
      <c r="B64" t="s">
        <v>15</v>
      </c>
      <c r="C64">
        <v>2</v>
      </c>
      <c r="D64">
        <v>27</v>
      </c>
      <c r="E64" s="7">
        <v>8.1999999999999993</v>
      </c>
      <c r="F64" t="s">
        <v>13</v>
      </c>
      <c r="G64">
        <f t="shared" si="0"/>
        <v>175000</v>
      </c>
      <c r="H64">
        <f t="shared" si="1"/>
        <v>87500</v>
      </c>
      <c r="I64">
        <f t="shared" si="2"/>
        <v>17.5</v>
      </c>
      <c r="J64">
        <v>16</v>
      </c>
      <c r="K64">
        <v>18</v>
      </c>
      <c r="L64">
        <v>20</v>
      </c>
      <c r="M64">
        <v>16</v>
      </c>
    </row>
    <row r="65" spans="1:14" x14ac:dyDescent="0.25">
      <c r="A65">
        <v>58</v>
      </c>
      <c r="B65" t="s">
        <v>14</v>
      </c>
      <c r="C65">
        <v>2</v>
      </c>
      <c r="D65">
        <v>31</v>
      </c>
      <c r="E65" s="7">
        <v>8.1999999999999993</v>
      </c>
      <c r="F65" t="s">
        <v>13</v>
      </c>
      <c r="G65">
        <f t="shared" si="0"/>
        <v>70000</v>
      </c>
      <c r="H65">
        <f t="shared" si="1"/>
        <v>35000</v>
      </c>
      <c r="I65">
        <f t="shared" si="2"/>
        <v>7</v>
      </c>
      <c r="J65">
        <v>3</v>
      </c>
      <c r="K65">
        <v>5</v>
      </c>
      <c r="L65">
        <v>10</v>
      </c>
      <c r="M65">
        <v>10</v>
      </c>
    </row>
    <row r="66" spans="1:14" x14ac:dyDescent="0.25">
      <c r="A66">
        <v>59</v>
      </c>
      <c r="B66" t="s">
        <v>15</v>
      </c>
      <c r="C66">
        <v>3</v>
      </c>
      <c r="D66">
        <v>23</v>
      </c>
      <c r="E66" s="7">
        <v>8.1999999999999993</v>
      </c>
      <c r="F66" t="s">
        <v>13</v>
      </c>
      <c r="G66">
        <f t="shared" si="0"/>
        <v>137500</v>
      </c>
      <c r="H66">
        <f t="shared" si="1"/>
        <v>45833.333333333336</v>
      </c>
      <c r="I66">
        <f t="shared" si="2"/>
        <v>13.75</v>
      </c>
      <c r="J66">
        <v>18</v>
      </c>
      <c r="K66">
        <v>11</v>
      </c>
      <c r="L66">
        <v>13</v>
      </c>
      <c r="M66">
        <v>13</v>
      </c>
    </row>
    <row r="67" spans="1:14" x14ac:dyDescent="0.25">
      <c r="A67">
        <v>60</v>
      </c>
      <c r="B67" t="s">
        <v>17</v>
      </c>
      <c r="C67">
        <v>3</v>
      </c>
      <c r="D67">
        <v>23</v>
      </c>
      <c r="E67" s="7">
        <v>8.1999999999999993</v>
      </c>
      <c r="F67" t="s">
        <v>13</v>
      </c>
      <c r="G67">
        <f t="shared" ref="G67:G117" si="3">I67*10000</f>
        <v>122500</v>
      </c>
      <c r="H67">
        <f t="shared" ref="H67:H117" si="4">G67/C67</f>
        <v>40833.333333333336</v>
      </c>
      <c r="I67">
        <f t="shared" ref="I67:I117" si="5">AVERAGE(J67:R67)</f>
        <v>12.25</v>
      </c>
      <c r="J67">
        <v>12</v>
      </c>
      <c r="K67">
        <v>14</v>
      </c>
      <c r="L67">
        <v>14</v>
      </c>
      <c r="M67">
        <v>9</v>
      </c>
    </row>
    <row r="68" spans="1:14" x14ac:dyDescent="0.25">
      <c r="A68">
        <v>61</v>
      </c>
      <c r="B68" t="s">
        <v>17</v>
      </c>
      <c r="C68">
        <v>3</v>
      </c>
      <c r="D68">
        <v>23</v>
      </c>
      <c r="E68" s="7">
        <v>8.1999999999999993</v>
      </c>
      <c r="F68" t="s">
        <v>13</v>
      </c>
      <c r="G68">
        <f t="shared" si="3"/>
        <v>127500</v>
      </c>
      <c r="H68">
        <f t="shared" si="4"/>
        <v>42500</v>
      </c>
      <c r="I68">
        <f t="shared" si="5"/>
        <v>12.75</v>
      </c>
      <c r="J68">
        <v>13</v>
      </c>
      <c r="K68">
        <v>12</v>
      </c>
      <c r="L68">
        <v>13</v>
      </c>
      <c r="M68">
        <v>13</v>
      </c>
    </row>
    <row r="69" spans="1:14" x14ac:dyDescent="0.25">
      <c r="A69">
        <v>62</v>
      </c>
      <c r="B69" t="s">
        <v>17</v>
      </c>
      <c r="C69">
        <v>1</v>
      </c>
      <c r="D69">
        <v>23</v>
      </c>
      <c r="E69" s="7">
        <v>8.1999999999999993</v>
      </c>
      <c r="F69" t="s">
        <v>13</v>
      </c>
      <c r="G69">
        <f t="shared" si="3"/>
        <v>60000</v>
      </c>
      <c r="H69">
        <f t="shared" si="4"/>
        <v>60000</v>
      </c>
      <c r="I69">
        <f t="shared" si="5"/>
        <v>6</v>
      </c>
      <c r="J69">
        <v>5</v>
      </c>
      <c r="K69">
        <v>6</v>
      </c>
      <c r="L69">
        <v>7</v>
      </c>
      <c r="M69">
        <v>6</v>
      </c>
    </row>
    <row r="70" spans="1:14" x14ac:dyDescent="0.25">
      <c r="A70">
        <v>63</v>
      </c>
      <c r="B70" t="s">
        <v>14</v>
      </c>
      <c r="C70">
        <v>1</v>
      </c>
      <c r="D70">
        <v>23</v>
      </c>
      <c r="E70" s="7">
        <v>8.1999999999999993</v>
      </c>
      <c r="F70" t="s">
        <v>13</v>
      </c>
      <c r="G70">
        <f t="shared" si="3"/>
        <v>62500</v>
      </c>
      <c r="H70">
        <f t="shared" si="4"/>
        <v>62500</v>
      </c>
      <c r="I70">
        <f t="shared" si="5"/>
        <v>6.25</v>
      </c>
      <c r="J70">
        <v>7</v>
      </c>
      <c r="K70">
        <v>8</v>
      </c>
      <c r="L70">
        <v>5</v>
      </c>
      <c r="M70">
        <v>5</v>
      </c>
    </row>
    <row r="71" spans="1:14" x14ac:dyDescent="0.25">
      <c r="A71">
        <v>64</v>
      </c>
      <c r="B71" t="s">
        <v>15</v>
      </c>
      <c r="C71">
        <v>1</v>
      </c>
      <c r="D71">
        <v>31</v>
      </c>
      <c r="E71" s="7">
        <v>8.1999999999999993</v>
      </c>
      <c r="F71" t="s">
        <v>13</v>
      </c>
      <c r="G71">
        <f t="shared" si="3"/>
        <v>65000</v>
      </c>
      <c r="H71">
        <f t="shared" si="4"/>
        <v>65000</v>
      </c>
      <c r="I71">
        <f t="shared" si="5"/>
        <v>6.5</v>
      </c>
      <c r="J71">
        <v>3</v>
      </c>
      <c r="K71">
        <v>8</v>
      </c>
      <c r="L71">
        <v>5</v>
      </c>
      <c r="M71">
        <v>10</v>
      </c>
    </row>
    <row r="72" spans="1:14" x14ac:dyDescent="0.25">
      <c r="A72">
        <v>65</v>
      </c>
      <c r="B72" t="s">
        <v>14</v>
      </c>
      <c r="C72">
        <v>3</v>
      </c>
      <c r="D72">
        <v>23</v>
      </c>
      <c r="E72" s="7">
        <v>8.1999999999999993</v>
      </c>
      <c r="F72" t="s">
        <v>8</v>
      </c>
      <c r="G72">
        <f t="shared" si="3"/>
        <v>80000</v>
      </c>
      <c r="H72">
        <f t="shared" si="4"/>
        <v>26666.666666666668</v>
      </c>
      <c r="I72">
        <f t="shared" si="5"/>
        <v>8</v>
      </c>
      <c r="J72">
        <v>2</v>
      </c>
      <c r="K72">
        <v>8</v>
      </c>
      <c r="L72">
        <v>7</v>
      </c>
      <c r="M72">
        <v>15</v>
      </c>
    </row>
    <row r="73" spans="1:14" x14ac:dyDescent="0.25">
      <c r="A73">
        <v>66</v>
      </c>
      <c r="B73" t="s">
        <v>14</v>
      </c>
      <c r="C73">
        <v>2</v>
      </c>
      <c r="D73">
        <v>23</v>
      </c>
      <c r="E73" s="7">
        <v>8.1999999999999993</v>
      </c>
      <c r="F73" t="s">
        <v>8</v>
      </c>
      <c r="G73">
        <f t="shared" si="3"/>
        <v>60000</v>
      </c>
      <c r="H73">
        <f t="shared" si="4"/>
        <v>30000</v>
      </c>
      <c r="I73">
        <f t="shared" si="5"/>
        <v>6</v>
      </c>
      <c r="J73">
        <v>8</v>
      </c>
      <c r="K73">
        <v>5</v>
      </c>
      <c r="L73">
        <v>9</v>
      </c>
      <c r="M73">
        <v>2</v>
      </c>
    </row>
    <row r="74" spans="1:14" x14ac:dyDescent="0.25">
      <c r="A74">
        <v>67</v>
      </c>
      <c r="B74" t="s">
        <v>17</v>
      </c>
      <c r="C74">
        <v>1</v>
      </c>
      <c r="D74">
        <v>23</v>
      </c>
      <c r="E74" s="7">
        <v>8.1999999999999993</v>
      </c>
      <c r="F74" t="s">
        <v>8</v>
      </c>
      <c r="G74">
        <f t="shared" si="3"/>
        <v>20000</v>
      </c>
      <c r="H74">
        <f t="shared" si="4"/>
        <v>20000</v>
      </c>
      <c r="I74">
        <f t="shared" si="5"/>
        <v>2</v>
      </c>
      <c r="J74">
        <v>2</v>
      </c>
      <c r="K74">
        <v>1</v>
      </c>
      <c r="L74">
        <v>1</v>
      </c>
      <c r="M74">
        <v>4</v>
      </c>
    </row>
    <row r="75" spans="1:14" x14ac:dyDescent="0.25">
      <c r="A75">
        <v>68</v>
      </c>
      <c r="B75" t="s">
        <v>15</v>
      </c>
      <c r="C75">
        <v>2</v>
      </c>
      <c r="D75">
        <v>23</v>
      </c>
      <c r="E75" s="7">
        <v>8.1999999999999993</v>
      </c>
      <c r="F75" t="s">
        <v>8</v>
      </c>
      <c r="G75">
        <f t="shared" si="3"/>
        <v>78000</v>
      </c>
      <c r="H75">
        <f t="shared" si="4"/>
        <v>39000</v>
      </c>
      <c r="I75">
        <f t="shared" si="5"/>
        <v>7.8</v>
      </c>
      <c r="J75">
        <v>8</v>
      </c>
      <c r="K75">
        <v>9</v>
      </c>
      <c r="L75">
        <v>7</v>
      </c>
      <c r="M75">
        <v>8</v>
      </c>
      <c r="N75">
        <v>7</v>
      </c>
    </row>
    <row r="76" spans="1:14" x14ac:dyDescent="0.25">
      <c r="A76">
        <v>69</v>
      </c>
      <c r="B76" t="s">
        <v>17</v>
      </c>
      <c r="C76">
        <v>2</v>
      </c>
      <c r="D76">
        <v>23</v>
      </c>
      <c r="E76" s="7">
        <v>8.1999999999999993</v>
      </c>
      <c r="F76" t="s">
        <v>8</v>
      </c>
      <c r="G76">
        <f t="shared" si="3"/>
        <v>100000</v>
      </c>
      <c r="H76">
        <f t="shared" si="4"/>
        <v>50000</v>
      </c>
      <c r="I76">
        <f t="shared" si="5"/>
        <v>10</v>
      </c>
      <c r="J76">
        <v>8</v>
      </c>
      <c r="K76">
        <v>6</v>
      </c>
      <c r="L76">
        <v>12</v>
      </c>
      <c r="M76">
        <v>14</v>
      </c>
    </row>
    <row r="77" spans="1:14" x14ac:dyDescent="0.25">
      <c r="A77">
        <v>70</v>
      </c>
      <c r="B77" t="s">
        <v>17</v>
      </c>
      <c r="C77">
        <v>3</v>
      </c>
      <c r="D77">
        <v>23</v>
      </c>
      <c r="E77" s="7">
        <v>8.1999999999999993</v>
      </c>
      <c r="F77" t="s">
        <v>8</v>
      </c>
      <c r="G77">
        <f t="shared" si="3"/>
        <v>105000</v>
      </c>
      <c r="H77">
        <f t="shared" si="4"/>
        <v>35000</v>
      </c>
      <c r="I77">
        <f t="shared" si="5"/>
        <v>10.5</v>
      </c>
      <c r="J77">
        <v>13</v>
      </c>
      <c r="K77">
        <v>7</v>
      </c>
      <c r="L77">
        <v>12</v>
      </c>
      <c r="M77">
        <v>10</v>
      </c>
    </row>
    <row r="78" spans="1:14" x14ac:dyDescent="0.25">
      <c r="A78">
        <v>71</v>
      </c>
      <c r="B78" t="s">
        <v>14</v>
      </c>
      <c r="C78">
        <v>1</v>
      </c>
      <c r="D78">
        <v>23</v>
      </c>
      <c r="E78" s="7">
        <v>8.1999999999999993</v>
      </c>
      <c r="F78" t="s">
        <v>7</v>
      </c>
      <c r="G78">
        <f t="shared" si="3"/>
        <v>15000</v>
      </c>
      <c r="H78">
        <f t="shared" si="4"/>
        <v>15000</v>
      </c>
      <c r="I78">
        <f t="shared" si="5"/>
        <v>1.5</v>
      </c>
      <c r="J78">
        <v>2</v>
      </c>
      <c r="K78">
        <v>1</v>
      </c>
      <c r="L78">
        <v>2</v>
      </c>
      <c r="M78">
        <v>1</v>
      </c>
    </row>
    <row r="79" spans="1:14" x14ac:dyDescent="0.25">
      <c r="A79">
        <v>72</v>
      </c>
      <c r="B79" t="s">
        <v>14</v>
      </c>
      <c r="C79">
        <v>1</v>
      </c>
      <c r="D79">
        <v>23</v>
      </c>
      <c r="E79" s="7">
        <v>8.1999999999999993</v>
      </c>
      <c r="F79" t="s">
        <v>8</v>
      </c>
      <c r="G79">
        <f t="shared" si="3"/>
        <v>17500</v>
      </c>
      <c r="H79">
        <f t="shared" si="4"/>
        <v>17500</v>
      </c>
      <c r="I79">
        <f t="shared" si="5"/>
        <v>1.75</v>
      </c>
      <c r="J79">
        <v>1</v>
      </c>
      <c r="K79">
        <v>3</v>
      </c>
      <c r="L79">
        <v>1</v>
      </c>
      <c r="M79">
        <v>2</v>
      </c>
    </row>
    <row r="80" spans="1:14" x14ac:dyDescent="0.25">
      <c r="A80">
        <v>73</v>
      </c>
      <c r="B80" t="s">
        <v>15</v>
      </c>
      <c r="C80">
        <v>1</v>
      </c>
      <c r="D80">
        <v>23</v>
      </c>
      <c r="E80" s="7">
        <v>8.1999999999999993</v>
      </c>
      <c r="F80" t="s">
        <v>8</v>
      </c>
      <c r="G80">
        <f t="shared" si="3"/>
        <v>45000</v>
      </c>
      <c r="H80">
        <f t="shared" si="4"/>
        <v>45000</v>
      </c>
      <c r="I80">
        <f t="shared" si="5"/>
        <v>4.5</v>
      </c>
      <c r="J80">
        <v>5</v>
      </c>
      <c r="K80">
        <v>3</v>
      </c>
      <c r="L80">
        <v>4</v>
      </c>
      <c r="M80">
        <v>6</v>
      </c>
    </row>
    <row r="81" spans="1:14" x14ac:dyDescent="0.25">
      <c r="A81">
        <v>74</v>
      </c>
      <c r="B81" t="s">
        <v>17</v>
      </c>
      <c r="C81">
        <v>3</v>
      </c>
      <c r="D81">
        <v>23</v>
      </c>
      <c r="E81" s="7">
        <v>8.1999999999999993</v>
      </c>
      <c r="F81" t="s">
        <v>7</v>
      </c>
      <c r="G81">
        <f t="shared" si="3"/>
        <v>50000</v>
      </c>
      <c r="H81">
        <f t="shared" si="4"/>
        <v>16666.666666666668</v>
      </c>
      <c r="I81">
        <f t="shared" si="5"/>
        <v>5</v>
      </c>
      <c r="J81">
        <v>7</v>
      </c>
      <c r="K81">
        <v>3</v>
      </c>
      <c r="L81">
        <v>6</v>
      </c>
      <c r="M81">
        <v>4</v>
      </c>
    </row>
    <row r="82" spans="1:14" x14ac:dyDescent="0.25">
      <c r="A82">
        <v>75</v>
      </c>
      <c r="B82" t="s">
        <v>17</v>
      </c>
      <c r="C82">
        <v>1</v>
      </c>
      <c r="D82">
        <v>23</v>
      </c>
      <c r="E82" s="7">
        <v>8.1999999999999993</v>
      </c>
      <c r="F82" t="s">
        <v>7</v>
      </c>
      <c r="G82">
        <f t="shared" si="3"/>
        <v>17500</v>
      </c>
      <c r="H82">
        <f t="shared" si="4"/>
        <v>17500</v>
      </c>
      <c r="I82">
        <f t="shared" si="5"/>
        <v>1.75</v>
      </c>
      <c r="J82">
        <v>1</v>
      </c>
      <c r="K82">
        <v>4</v>
      </c>
      <c r="L82">
        <v>1</v>
      </c>
      <c r="M82">
        <v>1</v>
      </c>
    </row>
    <row r="83" spans="1:14" x14ac:dyDescent="0.25">
      <c r="A83">
        <v>76</v>
      </c>
      <c r="B83" t="s">
        <v>15</v>
      </c>
      <c r="C83">
        <v>4</v>
      </c>
      <c r="D83">
        <v>23</v>
      </c>
      <c r="E83" s="7">
        <v>8.1999999999999993</v>
      </c>
      <c r="F83" t="s">
        <v>7</v>
      </c>
      <c r="G83">
        <f t="shared" si="3"/>
        <v>112500</v>
      </c>
      <c r="H83">
        <f t="shared" si="4"/>
        <v>28125</v>
      </c>
      <c r="I83">
        <f t="shared" si="5"/>
        <v>11.25</v>
      </c>
      <c r="J83">
        <v>14</v>
      </c>
      <c r="K83">
        <v>12</v>
      </c>
      <c r="L83">
        <v>12</v>
      </c>
      <c r="M83">
        <v>7</v>
      </c>
    </row>
    <row r="84" spans="1:14" x14ac:dyDescent="0.25">
      <c r="A84">
        <v>77</v>
      </c>
      <c r="B84" t="s">
        <v>17</v>
      </c>
      <c r="C84">
        <v>2</v>
      </c>
      <c r="D84">
        <v>23</v>
      </c>
      <c r="E84" s="7">
        <v>8.1999999999999993</v>
      </c>
      <c r="F84" t="s">
        <v>13</v>
      </c>
      <c r="G84">
        <f t="shared" si="3"/>
        <v>65000</v>
      </c>
      <c r="H84">
        <f t="shared" si="4"/>
        <v>32500</v>
      </c>
      <c r="I84">
        <f t="shared" si="5"/>
        <v>6.5</v>
      </c>
      <c r="J84">
        <v>4</v>
      </c>
      <c r="K84">
        <v>3</v>
      </c>
      <c r="L84">
        <v>11</v>
      </c>
      <c r="M84">
        <v>8</v>
      </c>
    </row>
    <row r="85" spans="1:14" x14ac:dyDescent="0.25">
      <c r="A85">
        <v>78</v>
      </c>
      <c r="B85" t="s">
        <v>17</v>
      </c>
      <c r="C85">
        <v>2</v>
      </c>
      <c r="D85">
        <v>23</v>
      </c>
      <c r="E85" s="7">
        <v>8.1999999999999993</v>
      </c>
      <c r="F85" t="s">
        <v>13</v>
      </c>
      <c r="G85">
        <f t="shared" si="3"/>
        <v>57500</v>
      </c>
      <c r="H85">
        <f t="shared" si="4"/>
        <v>28750</v>
      </c>
      <c r="I85">
        <f t="shared" si="5"/>
        <v>5.75</v>
      </c>
      <c r="J85">
        <v>5</v>
      </c>
      <c r="K85">
        <v>2</v>
      </c>
      <c r="L85">
        <v>9</v>
      </c>
      <c r="M85">
        <v>7</v>
      </c>
    </row>
    <row r="86" spans="1:14" x14ac:dyDescent="0.25">
      <c r="A86">
        <v>79</v>
      </c>
      <c r="B86" t="s">
        <v>17</v>
      </c>
      <c r="C86">
        <v>3</v>
      </c>
      <c r="D86">
        <v>23</v>
      </c>
      <c r="E86" s="7">
        <v>8.1999999999999993</v>
      </c>
      <c r="F86" t="s">
        <v>13</v>
      </c>
      <c r="G86">
        <f t="shared" si="3"/>
        <v>105000</v>
      </c>
      <c r="H86">
        <f t="shared" si="4"/>
        <v>35000</v>
      </c>
      <c r="I86">
        <f t="shared" si="5"/>
        <v>10.5</v>
      </c>
      <c r="J86">
        <v>12</v>
      </c>
      <c r="K86">
        <v>13</v>
      </c>
      <c r="L86">
        <v>7</v>
      </c>
      <c r="M86">
        <v>10</v>
      </c>
    </row>
    <row r="87" spans="1:14" x14ac:dyDescent="0.25">
      <c r="A87">
        <v>80</v>
      </c>
      <c r="B87" t="s">
        <v>15</v>
      </c>
      <c r="C87">
        <v>1</v>
      </c>
      <c r="D87">
        <v>23</v>
      </c>
      <c r="E87" s="7">
        <v>8.1999999999999993</v>
      </c>
      <c r="F87" t="s">
        <v>13</v>
      </c>
      <c r="G87">
        <f t="shared" si="3"/>
        <v>15000</v>
      </c>
      <c r="H87">
        <f t="shared" si="4"/>
        <v>15000</v>
      </c>
      <c r="I87">
        <f t="shared" si="5"/>
        <v>1.5</v>
      </c>
      <c r="J87">
        <v>1</v>
      </c>
      <c r="K87">
        <v>1</v>
      </c>
      <c r="L87">
        <v>2</v>
      </c>
      <c r="M87">
        <v>2</v>
      </c>
    </row>
    <row r="88" spans="1:14" x14ac:dyDescent="0.25">
      <c r="A88">
        <v>81</v>
      </c>
      <c r="B88" t="s">
        <v>17</v>
      </c>
      <c r="C88">
        <v>3</v>
      </c>
      <c r="D88">
        <v>23</v>
      </c>
      <c r="E88" s="7">
        <v>8.1999999999999993</v>
      </c>
      <c r="F88" t="s">
        <v>13</v>
      </c>
      <c r="G88">
        <f t="shared" si="3"/>
        <v>32500</v>
      </c>
      <c r="H88">
        <f t="shared" si="4"/>
        <v>10833.333333333334</v>
      </c>
      <c r="I88">
        <f t="shared" si="5"/>
        <v>3.25</v>
      </c>
      <c r="J88">
        <v>4</v>
      </c>
      <c r="K88">
        <v>5</v>
      </c>
      <c r="L88">
        <v>2</v>
      </c>
      <c r="M88">
        <v>2</v>
      </c>
    </row>
    <row r="89" spans="1:14" x14ac:dyDescent="0.25">
      <c r="A89">
        <v>82</v>
      </c>
      <c r="B89" t="s">
        <v>17</v>
      </c>
      <c r="C89">
        <v>3</v>
      </c>
      <c r="D89">
        <v>23</v>
      </c>
      <c r="E89" s="7">
        <v>8.1999999999999993</v>
      </c>
      <c r="F89" t="s">
        <v>13</v>
      </c>
      <c r="G89">
        <f t="shared" si="3"/>
        <v>65000</v>
      </c>
      <c r="H89">
        <f t="shared" si="4"/>
        <v>21666.666666666668</v>
      </c>
      <c r="I89">
        <f t="shared" si="5"/>
        <v>6.5</v>
      </c>
      <c r="J89">
        <v>8</v>
      </c>
      <c r="K89">
        <v>4</v>
      </c>
      <c r="L89">
        <v>5</v>
      </c>
      <c r="M89">
        <v>9</v>
      </c>
    </row>
    <row r="90" spans="1:14" x14ac:dyDescent="0.25">
      <c r="A90">
        <v>83</v>
      </c>
      <c r="B90" t="s">
        <v>15</v>
      </c>
      <c r="C90">
        <v>2</v>
      </c>
      <c r="D90">
        <v>32</v>
      </c>
      <c r="E90" s="7">
        <v>8.1999999999999993</v>
      </c>
      <c r="F90" t="s">
        <v>13</v>
      </c>
      <c r="G90">
        <f t="shared" si="3"/>
        <v>47500</v>
      </c>
      <c r="H90">
        <f t="shared" si="4"/>
        <v>23750</v>
      </c>
      <c r="I90">
        <f t="shared" si="5"/>
        <v>4.75</v>
      </c>
      <c r="J90">
        <v>6</v>
      </c>
      <c r="K90">
        <v>1</v>
      </c>
      <c r="L90">
        <v>9</v>
      </c>
      <c r="M90">
        <v>3</v>
      </c>
    </row>
    <row r="91" spans="1:14" x14ac:dyDescent="0.25">
      <c r="A91">
        <v>84</v>
      </c>
      <c r="B91" t="s">
        <v>15</v>
      </c>
      <c r="C91">
        <v>3</v>
      </c>
      <c r="D91">
        <v>27</v>
      </c>
      <c r="E91" s="7">
        <v>8.1999999999999993</v>
      </c>
      <c r="F91" t="s">
        <v>13</v>
      </c>
      <c r="G91">
        <f t="shared" si="3"/>
        <v>70000</v>
      </c>
      <c r="H91">
        <f t="shared" si="4"/>
        <v>23333.333333333332</v>
      </c>
      <c r="I91">
        <f t="shared" si="5"/>
        <v>7</v>
      </c>
      <c r="J91">
        <v>7</v>
      </c>
      <c r="K91">
        <v>6</v>
      </c>
      <c r="L91">
        <v>10</v>
      </c>
      <c r="M91">
        <v>5</v>
      </c>
    </row>
    <row r="92" spans="1:14" x14ac:dyDescent="0.25">
      <c r="A92">
        <v>85</v>
      </c>
      <c r="B92" t="s">
        <v>14</v>
      </c>
      <c r="C92">
        <v>1</v>
      </c>
      <c r="D92">
        <v>31</v>
      </c>
      <c r="E92" s="7">
        <v>8.1999999999999993</v>
      </c>
      <c r="F92" t="s">
        <v>13</v>
      </c>
      <c r="G92">
        <f t="shared" si="3"/>
        <v>42500</v>
      </c>
      <c r="H92">
        <f t="shared" si="4"/>
        <v>42500</v>
      </c>
      <c r="I92">
        <f t="shared" si="5"/>
        <v>4.25</v>
      </c>
      <c r="J92">
        <v>4</v>
      </c>
      <c r="K92">
        <v>3</v>
      </c>
      <c r="L92">
        <v>4</v>
      </c>
      <c r="M92">
        <v>6</v>
      </c>
    </row>
    <row r="93" spans="1:14" x14ac:dyDescent="0.25">
      <c r="A93">
        <v>86</v>
      </c>
      <c r="B93" t="s">
        <v>14</v>
      </c>
      <c r="C93">
        <v>3</v>
      </c>
      <c r="D93">
        <v>27</v>
      </c>
      <c r="E93" s="7">
        <v>8.1999999999999993</v>
      </c>
      <c r="F93" t="s">
        <v>13</v>
      </c>
      <c r="G93">
        <f t="shared" si="3"/>
        <v>230000</v>
      </c>
      <c r="H93">
        <f t="shared" si="4"/>
        <v>76666.666666666672</v>
      </c>
      <c r="I93">
        <f t="shared" si="5"/>
        <v>23</v>
      </c>
      <c r="J93">
        <v>23</v>
      </c>
      <c r="K93">
        <v>30</v>
      </c>
      <c r="L93">
        <v>18</v>
      </c>
      <c r="M93">
        <v>18</v>
      </c>
      <c r="N93">
        <v>26</v>
      </c>
    </row>
    <row r="94" spans="1:14" x14ac:dyDescent="0.25">
      <c r="A94">
        <v>87</v>
      </c>
      <c r="B94" t="s">
        <v>14</v>
      </c>
      <c r="C94">
        <v>1</v>
      </c>
      <c r="D94">
        <v>27</v>
      </c>
      <c r="E94" s="7">
        <v>8.1999999999999993</v>
      </c>
      <c r="F94" t="s">
        <v>13</v>
      </c>
      <c r="G94">
        <f t="shared" si="3"/>
        <v>96000</v>
      </c>
      <c r="H94">
        <f t="shared" si="4"/>
        <v>96000</v>
      </c>
      <c r="I94">
        <f t="shared" si="5"/>
        <v>9.6</v>
      </c>
      <c r="J94">
        <v>6</v>
      </c>
      <c r="K94">
        <v>8</v>
      </c>
      <c r="L94">
        <v>4</v>
      </c>
      <c r="M94">
        <v>8</v>
      </c>
      <c r="N94">
        <v>22</v>
      </c>
    </row>
    <row r="95" spans="1:14" x14ac:dyDescent="0.25">
      <c r="A95">
        <v>88</v>
      </c>
      <c r="B95" t="s">
        <v>17</v>
      </c>
      <c r="C95">
        <v>3</v>
      </c>
      <c r="D95">
        <v>32</v>
      </c>
      <c r="E95" s="7">
        <v>8.1999999999999993</v>
      </c>
      <c r="F95" t="s">
        <v>13</v>
      </c>
      <c r="G95">
        <f t="shared" si="3"/>
        <v>190000</v>
      </c>
      <c r="H95">
        <f t="shared" si="4"/>
        <v>63333.333333333336</v>
      </c>
      <c r="I95">
        <f t="shared" si="5"/>
        <v>19</v>
      </c>
      <c r="J95">
        <v>31</v>
      </c>
      <c r="K95">
        <v>18</v>
      </c>
      <c r="L95">
        <v>18</v>
      </c>
      <c r="M95">
        <v>9</v>
      </c>
    </row>
    <row r="96" spans="1:14" x14ac:dyDescent="0.25">
      <c r="A96">
        <v>89</v>
      </c>
      <c r="B96" t="s">
        <v>14</v>
      </c>
      <c r="C96">
        <v>1</v>
      </c>
      <c r="D96">
        <v>23</v>
      </c>
      <c r="E96" s="7">
        <v>8.1999999999999993</v>
      </c>
      <c r="F96" t="s">
        <v>13</v>
      </c>
      <c r="G96">
        <f t="shared" si="3"/>
        <v>32500</v>
      </c>
      <c r="H96">
        <f t="shared" si="4"/>
        <v>32500</v>
      </c>
      <c r="I96">
        <f t="shared" si="5"/>
        <v>3.25</v>
      </c>
      <c r="J96">
        <v>6</v>
      </c>
      <c r="K96">
        <v>5</v>
      </c>
      <c r="L96">
        <v>1</v>
      </c>
      <c r="M96">
        <v>1</v>
      </c>
    </row>
    <row r="97" spans="1:14" x14ac:dyDescent="0.25">
      <c r="A97">
        <v>90</v>
      </c>
      <c r="B97" t="s">
        <v>17</v>
      </c>
      <c r="C97">
        <v>3</v>
      </c>
      <c r="D97">
        <v>23</v>
      </c>
      <c r="E97" s="7">
        <v>8.1999999999999993</v>
      </c>
      <c r="F97" t="s">
        <v>13</v>
      </c>
      <c r="G97">
        <f t="shared" si="3"/>
        <v>297500</v>
      </c>
      <c r="H97">
        <f t="shared" si="4"/>
        <v>99166.666666666672</v>
      </c>
      <c r="I97">
        <f t="shared" si="5"/>
        <v>29.75</v>
      </c>
      <c r="J97">
        <v>34</v>
      </c>
      <c r="K97">
        <v>27</v>
      </c>
      <c r="L97">
        <v>18</v>
      </c>
      <c r="M97">
        <v>40</v>
      </c>
    </row>
    <row r="98" spans="1:14" x14ac:dyDescent="0.25">
      <c r="A98">
        <v>91</v>
      </c>
      <c r="B98" t="s">
        <v>17</v>
      </c>
      <c r="C98">
        <v>2</v>
      </c>
      <c r="D98">
        <v>23</v>
      </c>
      <c r="E98" s="7">
        <v>8.1999999999999993</v>
      </c>
      <c r="F98" t="s">
        <v>13</v>
      </c>
      <c r="G98">
        <f t="shared" si="3"/>
        <v>80000</v>
      </c>
      <c r="H98">
        <f t="shared" si="4"/>
        <v>40000</v>
      </c>
      <c r="I98">
        <f t="shared" si="5"/>
        <v>8</v>
      </c>
      <c r="J98">
        <v>8</v>
      </c>
      <c r="K98">
        <v>11</v>
      </c>
      <c r="L98">
        <v>7</v>
      </c>
      <c r="M98">
        <v>6</v>
      </c>
    </row>
    <row r="99" spans="1:14" x14ac:dyDescent="0.25">
      <c r="A99">
        <v>92</v>
      </c>
      <c r="B99" t="s">
        <v>14</v>
      </c>
      <c r="C99">
        <v>1</v>
      </c>
      <c r="D99">
        <v>32</v>
      </c>
      <c r="E99" s="7">
        <v>8.1999999999999993</v>
      </c>
      <c r="F99" t="s">
        <v>13</v>
      </c>
      <c r="G99">
        <f t="shared" si="3"/>
        <v>45000</v>
      </c>
      <c r="H99">
        <f t="shared" si="4"/>
        <v>45000</v>
      </c>
      <c r="I99">
        <f t="shared" si="5"/>
        <v>4.5</v>
      </c>
      <c r="J99">
        <v>7</v>
      </c>
      <c r="K99">
        <v>3</v>
      </c>
      <c r="L99">
        <v>3</v>
      </c>
      <c r="M99">
        <v>5</v>
      </c>
    </row>
    <row r="100" spans="1:14" x14ac:dyDescent="0.25">
      <c r="A100">
        <v>93</v>
      </c>
      <c r="B100" t="s">
        <v>17</v>
      </c>
      <c r="C100">
        <v>3</v>
      </c>
      <c r="D100">
        <v>32</v>
      </c>
      <c r="E100" s="7">
        <v>8.1999999999999993</v>
      </c>
      <c r="F100" t="s">
        <v>13</v>
      </c>
      <c r="G100">
        <f t="shared" si="3"/>
        <v>320000</v>
      </c>
      <c r="H100">
        <f t="shared" si="4"/>
        <v>106666.66666666667</v>
      </c>
      <c r="I100">
        <f t="shared" si="5"/>
        <v>32</v>
      </c>
      <c r="J100">
        <v>21</v>
      </c>
      <c r="K100">
        <v>18</v>
      </c>
      <c r="L100">
        <v>54</v>
      </c>
      <c r="M100">
        <v>35</v>
      </c>
    </row>
    <row r="101" spans="1:14" x14ac:dyDescent="0.25">
      <c r="A101">
        <v>94</v>
      </c>
      <c r="B101" t="s">
        <v>17</v>
      </c>
      <c r="C101">
        <v>3</v>
      </c>
      <c r="D101">
        <v>27</v>
      </c>
      <c r="E101" s="7">
        <v>8.1999999999999993</v>
      </c>
      <c r="F101" t="s">
        <v>13</v>
      </c>
      <c r="G101">
        <f t="shared" si="3"/>
        <v>142500</v>
      </c>
      <c r="H101">
        <f t="shared" si="4"/>
        <v>47500</v>
      </c>
      <c r="I101">
        <f t="shared" si="5"/>
        <v>14.25</v>
      </c>
      <c r="J101">
        <v>17</v>
      </c>
      <c r="K101">
        <v>16</v>
      </c>
      <c r="L101">
        <v>12</v>
      </c>
      <c r="M101">
        <v>12</v>
      </c>
    </row>
    <row r="102" spans="1:14" x14ac:dyDescent="0.25">
      <c r="A102">
        <v>95</v>
      </c>
      <c r="B102" t="s">
        <v>17</v>
      </c>
      <c r="C102">
        <v>3</v>
      </c>
      <c r="D102">
        <v>27</v>
      </c>
      <c r="E102" s="7">
        <v>8.1999999999999993</v>
      </c>
      <c r="F102" t="s">
        <v>13</v>
      </c>
      <c r="G102">
        <f t="shared" si="3"/>
        <v>200000</v>
      </c>
      <c r="H102">
        <f t="shared" si="4"/>
        <v>66666.666666666672</v>
      </c>
      <c r="I102">
        <f t="shared" si="5"/>
        <v>20</v>
      </c>
      <c r="J102">
        <v>25</v>
      </c>
      <c r="K102">
        <v>25</v>
      </c>
      <c r="L102">
        <v>12</v>
      </c>
      <c r="M102">
        <v>18</v>
      </c>
      <c r="N102">
        <v>20</v>
      </c>
    </row>
    <row r="103" spans="1:14" x14ac:dyDescent="0.25">
      <c r="A103">
        <v>96</v>
      </c>
      <c r="B103" t="s">
        <v>14</v>
      </c>
      <c r="C103">
        <v>1</v>
      </c>
      <c r="D103">
        <v>27</v>
      </c>
      <c r="E103" s="7">
        <v>8.1999999999999993</v>
      </c>
      <c r="F103" t="s">
        <v>13</v>
      </c>
      <c r="G103">
        <f t="shared" si="3"/>
        <v>95000</v>
      </c>
      <c r="H103">
        <f t="shared" si="4"/>
        <v>95000</v>
      </c>
      <c r="I103">
        <f t="shared" si="5"/>
        <v>9.5</v>
      </c>
      <c r="J103">
        <v>9</v>
      </c>
      <c r="K103">
        <v>9</v>
      </c>
      <c r="L103">
        <v>13</v>
      </c>
      <c r="M103">
        <v>7</v>
      </c>
    </row>
    <row r="104" spans="1:14" x14ac:dyDescent="0.25">
      <c r="A104">
        <v>97</v>
      </c>
      <c r="B104" t="s">
        <v>17</v>
      </c>
      <c r="C104">
        <v>3</v>
      </c>
      <c r="D104">
        <v>27</v>
      </c>
      <c r="E104" s="7">
        <v>8.1999999999999993</v>
      </c>
      <c r="F104" t="s">
        <v>13</v>
      </c>
      <c r="G104">
        <f t="shared" si="3"/>
        <v>155000</v>
      </c>
      <c r="H104">
        <f t="shared" si="4"/>
        <v>51666.666666666664</v>
      </c>
      <c r="I104">
        <f t="shared" si="5"/>
        <v>15.5</v>
      </c>
      <c r="J104">
        <v>14</v>
      </c>
      <c r="K104">
        <v>20</v>
      </c>
      <c r="L104">
        <v>14</v>
      </c>
      <c r="M104">
        <v>14</v>
      </c>
    </row>
    <row r="105" spans="1:14" x14ac:dyDescent="0.25">
      <c r="A105">
        <v>98</v>
      </c>
      <c r="B105" t="s">
        <v>17</v>
      </c>
      <c r="C105">
        <v>4</v>
      </c>
      <c r="D105">
        <v>27</v>
      </c>
      <c r="E105" s="7">
        <v>8.1999999999999993</v>
      </c>
      <c r="F105" t="s">
        <v>13</v>
      </c>
      <c r="G105">
        <f t="shared" si="3"/>
        <v>112500</v>
      </c>
      <c r="H105">
        <f t="shared" si="4"/>
        <v>28125</v>
      </c>
      <c r="I105">
        <f t="shared" si="5"/>
        <v>11.25</v>
      </c>
      <c r="J105">
        <v>18</v>
      </c>
      <c r="K105">
        <v>12</v>
      </c>
      <c r="L105">
        <v>10</v>
      </c>
      <c r="M105">
        <v>5</v>
      </c>
    </row>
    <row r="106" spans="1:14" x14ac:dyDescent="0.25">
      <c r="A106">
        <v>99</v>
      </c>
      <c r="B106" t="s">
        <v>14</v>
      </c>
      <c r="C106">
        <v>1</v>
      </c>
      <c r="D106">
        <v>32</v>
      </c>
      <c r="E106" s="7">
        <v>8.1999999999999993</v>
      </c>
      <c r="F106" t="s">
        <v>13</v>
      </c>
      <c r="G106">
        <f t="shared" si="3"/>
        <v>22500</v>
      </c>
      <c r="H106">
        <f t="shared" si="4"/>
        <v>22500</v>
      </c>
      <c r="I106">
        <f t="shared" si="5"/>
        <v>2.25</v>
      </c>
      <c r="J106">
        <v>1</v>
      </c>
      <c r="K106">
        <v>3</v>
      </c>
      <c r="L106">
        <v>4</v>
      </c>
      <c r="M106">
        <v>1</v>
      </c>
    </row>
    <row r="107" spans="1:14" x14ac:dyDescent="0.25">
      <c r="A107">
        <v>100</v>
      </c>
      <c r="B107" t="s">
        <v>15</v>
      </c>
      <c r="C107">
        <v>2</v>
      </c>
      <c r="D107">
        <v>32</v>
      </c>
      <c r="E107" s="7">
        <v>8.1999999999999993</v>
      </c>
      <c r="F107" t="s">
        <v>13</v>
      </c>
      <c r="G107">
        <f t="shared" si="3"/>
        <v>62000</v>
      </c>
      <c r="H107">
        <f t="shared" si="4"/>
        <v>31000</v>
      </c>
      <c r="I107">
        <f t="shared" si="5"/>
        <v>6.2</v>
      </c>
      <c r="J107">
        <v>8</v>
      </c>
      <c r="K107">
        <v>4</v>
      </c>
      <c r="L107">
        <v>7</v>
      </c>
      <c r="M107">
        <v>5</v>
      </c>
      <c r="N107">
        <v>7</v>
      </c>
    </row>
    <row r="108" spans="1:14" x14ac:dyDescent="0.25">
      <c r="A108">
        <v>10</v>
      </c>
      <c r="B108" t="s">
        <v>17</v>
      </c>
      <c r="C108">
        <v>4</v>
      </c>
      <c r="D108">
        <v>23</v>
      </c>
      <c r="E108">
        <v>8.1999999999999993</v>
      </c>
      <c r="F108" t="s">
        <v>13</v>
      </c>
      <c r="G108">
        <f t="shared" si="3"/>
        <v>106000</v>
      </c>
      <c r="H108">
        <f t="shared" si="4"/>
        <v>26500</v>
      </c>
      <c r="I108">
        <f t="shared" si="5"/>
        <v>10.6</v>
      </c>
      <c r="J108">
        <v>8</v>
      </c>
      <c r="K108">
        <v>13</v>
      </c>
      <c r="L108">
        <v>10</v>
      </c>
      <c r="M108">
        <v>10</v>
      </c>
      <c r="N108">
        <v>12</v>
      </c>
    </row>
    <row r="109" spans="1:14" x14ac:dyDescent="0.25">
      <c r="A109">
        <v>1</v>
      </c>
      <c r="B109" t="s">
        <v>14</v>
      </c>
      <c r="C109">
        <v>2</v>
      </c>
      <c r="D109">
        <v>23</v>
      </c>
      <c r="E109">
        <v>8.1999999999999993</v>
      </c>
      <c r="F109" t="s">
        <v>13</v>
      </c>
      <c r="G109">
        <f t="shared" si="3"/>
        <v>154000</v>
      </c>
      <c r="H109">
        <f t="shared" si="4"/>
        <v>77000</v>
      </c>
      <c r="I109">
        <f t="shared" si="5"/>
        <v>15.4</v>
      </c>
      <c r="J109">
        <v>28</v>
      </c>
      <c r="K109">
        <v>12</v>
      </c>
      <c r="L109">
        <v>11</v>
      </c>
      <c r="M109">
        <v>18</v>
      </c>
      <c r="N109">
        <v>8</v>
      </c>
    </row>
    <row r="110" spans="1:14" ht="14.25" customHeight="1" x14ac:dyDescent="0.25">
      <c r="A110">
        <v>2</v>
      </c>
      <c r="B110" t="s">
        <v>14</v>
      </c>
      <c r="C110">
        <v>4</v>
      </c>
      <c r="D110">
        <v>23</v>
      </c>
      <c r="E110">
        <v>8.1999999999999993</v>
      </c>
      <c r="F110" t="s">
        <v>13</v>
      </c>
      <c r="G110">
        <f t="shared" si="3"/>
        <v>248000</v>
      </c>
      <c r="H110">
        <f t="shared" si="4"/>
        <v>62000</v>
      </c>
      <c r="I110">
        <f t="shared" si="5"/>
        <v>24.8</v>
      </c>
      <c r="J110">
        <v>23</v>
      </c>
      <c r="K110">
        <v>34</v>
      </c>
      <c r="L110">
        <v>28</v>
      </c>
      <c r="M110">
        <v>22</v>
      </c>
      <c r="N110">
        <v>17</v>
      </c>
    </row>
    <row r="111" spans="1:14" x14ac:dyDescent="0.25">
      <c r="A111">
        <v>3</v>
      </c>
      <c r="B111" t="s">
        <v>14</v>
      </c>
      <c r="C111">
        <v>3</v>
      </c>
      <c r="D111">
        <v>23</v>
      </c>
      <c r="E111">
        <v>8.1999999999999993</v>
      </c>
      <c r="F111" t="s">
        <v>13</v>
      </c>
      <c r="G111">
        <f t="shared" si="3"/>
        <v>108000</v>
      </c>
      <c r="H111">
        <f t="shared" si="4"/>
        <v>36000</v>
      </c>
      <c r="I111">
        <f t="shared" si="5"/>
        <v>10.8</v>
      </c>
      <c r="J111">
        <v>13</v>
      </c>
      <c r="K111">
        <v>8</v>
      </c>
      <c r="L111">
        <v>7</v>
      </c>
      <c r="M111">
        <v>16</v>
      </c>
      <c r="N111">
        <v>10</v>
      </c>
    </row>
    <row r="112" spans="1:14" x14ac:dyDescent="0.25">
      <c r="A112">
        <v>4</v>
      </c>
      <c r="B112" t="s">
        <v>17</v>
      </c>
      <c r="C112">
        <v>4</v>
      </c>
      <c r="D112">
        <v>23</v>
      </c>
      <c r="E112">
        <v>8.1999999999999993</v>
      </c>
      <c r="F112" t="s">
        <v>13</v>
      </c>
      <c r="G112">
        <f t="shared" si="3"/>
        <v>138000</v>
      </c>
      <c r="H112">
        <f t="shared" si="4"/>
        <v>34500</v>
      </c>
      <c r="I112">
        <f t="shared" si="5"/>
        <v>13.8</v>
      </c>
      <c r="J112">
        <v>14</v>
      </c>
      <c r="K112">
        <v>10</v>
      </c>
      <c r="L112">
        <v>12</v>
      </c>
      <c r="M112">
        <v>14</v>
      </c>
      <c r="N112">
        <v>19</v>
      </c>
    </row>
    <row r="113" spans="1:14" x14ac:dyDescent="0.25">
      <c r="A113">
        <v>5</v>
      </c>
      <c r="B113" t="s">
        <v>17</v>
      </c>
      <c r="C113">
        <v>4</v>
      </c>
      <c r="D113">
        <v>23</v>
      </c>
      <c r="E113">
        <v>8.1999999999999993</v>
      </c>
      <c r="F113" t="s">
        <v>13</v>
      </c>
      <c r="G113">
        <f t="shared" si="3"/>
        <v>178000</v>
      </c>
      <c r="H113">
        <f t="shared" si="4"/>
        <v>44500</v>
      </c>
      <c r="I113">
        <f t="shared" si="5"/>
        <v>17.8</v>
      </c>
      <c r="J113">
        <v>20</v>
      </c>
      <c r="K113">
        <v>23</v>
      </c>
      <c r="L113">
        <v>13</v>
      </c>
      <c r="M113">
        <v>16</v>
      </c>
      <c r="N113">
        <v>17</v>
      </c>
    </row>
    <row r="114" spans="1:14" x14ac:dyDescent="0.25">
      <c r="A114">
        <v>6</v>
      </c>
      <c r="B114" t="s">
        <v>17</v>
      </c>
      <c r="C114">
        <v>4</v>
      </c>
      <c r="D114">
        <v>23</v>
      </c>
      <c r="E114">
        <v>8.1999999999999993</v>
      </c>
      <c r="F114" t="s">
        <v>13</v>
      </c>
      <c r="G114">
        <f t="shared" si="3"/>
        <v>186000</v>
      </c>
      <c r="H114">
        <f t="shared" si="4"/>
        <v>46500</v>
      </c>
      <c r="I114">
        <f t="shared" si="5"/>
        <v>18.600000000000001</v>
      </c>
      <c r="J114">
        <v>18</v>
      </c>
      <c r="K114">
        <v>29</v>
      </c>
      <c r="L114">
        <v>12</v>
      </c>
      <c r="M114">
        <v>11</v>
      </c>
      <c r="N114">
        <v>23</v>
      </c>
    </row>
    <row r="115" spans="1:14" x14ac:dyDescent="0.25">
      <c r="A115">
        <v>7</v>
      </c>
      <c r="B115" t="s">
        <v>17</v>
      </c>
      <c r="C115">
        <v>4</v>
      </c>
      <c r="D115">
        <v>23</v>
      </c>
      <c r="E115">
        <v>8.1999999999999993</v>
      </c>
      <c r="F115" t="s">
        <v>13</v>
      </c>
      <c r="G115">
        <f t="shared" si="3"/>
        <v>82000</v>
      </c>
      <c r="H115">
        <f t="shared" si="4"/>
        <v>20500</v>
      </c>
      <c r="I115">
        <f t="shared" si="5"/>
        <v>8.1999999999999993</v>
      </c>
      <c r="J115">
        <v>11</v>
      </c>
      <c r="K115">
        <v>7</v>
      </c>
      <c r="L115">
        <v>4</v>
      </c>
      <c r="M115">
        <v>7</v>
      </c>
      <c r="N115">
        <v>12</v>
      </c>
    </row>
    <row r="116" spans="1:14" x14ac:dyDescent="0.25">
      <c r="A116">
        <v>8</v>
      </c>
      <c r="B116" t="s">
        <v>17</v>
      </c>
      <c r="C116">
        <v>4</v>
      </c>
      <c r="D116">
        <v>23</v>
      </c>
      <c r="E116">
        <v>8.1999999999999993</v>
      </c>
      <c r="F116" t="s">
        <v>13</v>
      </c>
      <c r="G116">
        <f t="shared" si="3"/>
        <v>188000</v>
      </c>
      <c r="H116">
        <f t="shared" si="4"/>
        <v>47000</v>
      </c>
      <c r="I116">
        <f t="shared" si="5"/>
        <v>18.8</v>
      </c>
      <c r="J116">
        <v>10</v>
      </c>
      <c r="K116">
        <v>16</v>
      </c>
      <c r="L116">
        <v>28</v>
      </c>
      <c r="M116">
        <v>22</v>
      </c>
      <c r="N116">
        <v>18</v>
      </c>
    </row>
    <row r="117" spans="1:14" x14ac:dyDescent="0.25">
      <c r="A117">
        <v>9</v>
      </c>
      <c r="B117" t="s">
        <v>17</v>
      </c>
      <c r="C117">
        <v>4</v>
      </c>
      <c r="D117">
        <v>23</v>
      </c>
      <c r="E117">
        <v>8.1999999999999993</v>
      </c>
      <c r="F117" t="s">
        <v>13</v>
      </c>
      <c r="G117">
        <f t="shared" si="3"/>
        <v>94000</v>
      </c>
      <c r="H117">
        <f t="shared" si="4"/>
        <v>23500</v>
      </c>
      <c r="I117">
        <f t="shared" si="5"/>
        <v>9.4</v>
      </c>
      <c r="J117">
        <v>12</v>
      </c>
      <c r="K117">
        <v>7</v>
      </c>
      <c r="L117">
        <v>3</v>
      </c>
      <c r="M117">
        <v>12</v>
      </c>
      <c r="N117">
        <v>13</v>
      </c>
    </row>
  </sheetData>
  <dataValidations count="1">
    <dataValidation type="list" allowBlank="1" showErrorMessage="1" sqref="F15 F17:F28" xr:uid="{7F86951F-CFB3-4F43-8326-64E64AE191EA}">
      <formula1>"control,light 50m,27c,32c,Dark,50m"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2015-06-05T18:17:20Z</dcterms:created>
  <dcterms:modified xsi:type="dcterms:W3CDTF">2026-05-22T21:07:34Z</dcterms:modified>
</cp:coreProperties>
</file>