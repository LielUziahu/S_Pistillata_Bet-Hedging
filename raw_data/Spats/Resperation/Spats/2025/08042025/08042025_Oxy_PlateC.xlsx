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Shared drives\CSMS_CBP_MassLab\Liel Uziahu\Stylophora pistillata\Physiology\Resperation\2025\08042025\"/>
    </mc:Choice>
  </mc:AlternateContent>
  <xr:revisionPtr revIDLastSave="0" documentId="13_ncr:1_{347ACFC2-77EC-4326-ACFD-A8F5E9F1DDA7}" xr6:coauthVersionLast="47" xr6:coauthVersionMax="47" xr10:uidLastSave="{00000000-0000-0000-0000-000000000000}"/>
  <bookViews>
    <workbookView xWindow="-28920" yWindow="5280" windowWidth="29040" windowHeight="15720" activeTab="1" xr2:uid="{121E2558-C687-44CC-93D3-CDA228B91AF5}"/>
  </bookViews>
  <sheets>
    <sheet name="Oxygen Orginal" sheetId="2" r:id="rId1"/>
    <sheet name="Oxygen Convert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62" i="3" l="1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C83" i="3"/>
  <c r="J162" i="3" l="1"/>
  <c r="J163" i="3" s="1"/>
  <c r="Z162" i="3"/>
  <c r="Q162" i="3"/>
  <c r="Q163" i="3" s="1"/>
  <c r="S162" i="3"/>
  <c r="S163" i="3" s="1"/>
  <c r="T162" i="3"/>
  <c r="T163" i="3" s="1"/>
  <c r="L162" i="3"/>
  <c r="L163" i="3" s="1"/>
  <c r="F162" i="3"/>
  <c r="F163" i="3" s="1"/>
  <c r="G162" i="3"/>
  <c r="G163" i="3" s="1"/>
  <c r="H162" i="3"/>
  <c r="H163" i="3" s="1"/>
  <c r="V162" i="3"/>
  <c r="V163" i="3" s="1"/>
  <c r="W162" i="3"/>
  <c r="W163" i="3" s="1"/>
  <c r="X162" i="3"/>
  <c r="X163" i="3" s="1"/>
  <c r="P162" i="3"/>
  <c r="P163" i="3" s="1"/>
  <c r="K162" i="3"/>
  <c r="K163" i="3" s="1"/>
  <c r="E162" i="3"/>
  <c r="E163" i="3" s="1"/>
  <c r="N162" i="3"/>
  <c r="N163" i="3" s="1"/>
  <c r="O162" i="3"/>
  <c r="O163" i="3" s="1"/>
  <c r="I162" i="3"/>
  <c r="I163" i="3" s="1"/>
  <c r="Y162" i="3"/>
  <c r="Y163" i="3" s="1"/>
  <c r="D162" i="3"/>
  <c r="D163" i="3" s="1"/>
  <c r="U162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83" i="3"/>
  <c r="R162" i="3" l="1"/>
  <c r="R163" i="3" s="1"/>
  <c r="M162" i="3"/>
  <c r="M163" i="3" s="1"/>
  <c r="C162" i="3"/>
  <c r="C163" i="3" s="1"/>
  <c r="Z163" i="3"/>
  <c r="P164" i="3"/>
  <c r="U163" i="3"/>
  <c r="L164" i="3" l="1"/>
  <c r="J164" i="3"/>
  <c r="W164" i="3"/>
  <c r="N164" i="3"/>
  <c r="O164" i="3"/>
  <c r="U164" i="3"/>
  <c r="E164" i="3"/>
  <c r="F164" i="3"/>
  <c r="H164" i="3"/>
  <c r="Z164" i="3"/>
  <c r="X164" i="3"/>
  <c r="V164" i="3"/>
  <c r="G164" i="3"/>
  <c r="T164" i="3"/>
  <c r="S164" i="3"/>
  <c r="M164" i="3"/>
  <c r="Q164" i="3"/>
  <c r="K164" i="3"/>
  <c r="I164" i="3"/>
  <c r="D164" i="3"/>
  <c r="C164" i="3"/>
  <c r="R164" i="3"/>
  <c r="Y164" i="3"/>
  <c r="AC84" i="2"/>
  <c r="D86" i="2" s="1"/>
  <c r="R86" i="2"/>
  <c r="S86" i="2"/>
  <c r="D84" i="2"/>
  <c r="E84" i="2"/>
  <c r="F84" i="2"/>
  <c r="G84" i="2"/>
  <c r="H84" i="2"/>
  <c r="I84" i="2"/>
  <c r="J84" i="2"/>
  <c r="K84" i="2"/>
  <c r="L84" i="2"/>
  <c r="M84" i="2"/>
  <c r="N84" i="2"/>
  <c r="N85" i="2" s="1"/>
  <c r="O84" i="2"/>
  <c r="O85" i="2" s="1"/>
  <c r="P84" i="2"/>
  <c r="P85" i="2" s="1"/>
  <c r="Q84" i="2"/>
  <c r="Q85" i="2" s="1"/>
  <c r="R84" i="2"/>
  <c r="R85" i="2" s="1"/>
  <c r="S84" i="2"/>
  <c r="S85" i="2" s="1"/>
  <c r="T84" i="2"/>
  <c r="U84" i="2"/>
  <c r="V84" i="2"/>
  <c r="W84" i="2"/>
  <c r="X84" i="2"/>
  <c r="Y84" i="2"/>
  <c r="Y85" i="2" s="1"/>
  <c r="Z84" i="2"/>
  <c r="Z85" i="2" s="1"/>
  <c r="C84" i="2"/>
  <c r="C85" i="2" s="1"/>
  <c r="X85" i="2"/>
  <c r="W85" i="2"/>
  <c r="V85" i="2"/>
  <c r="U85" i="2"/>
  <c r="T85" i="2"/>
  <c r="M85" i="2"/>
  <c r="L85" i="2"/>
  <c r="J85" i="2"/>
  <c r="I85" i="2"/>
  <c r="H85" i="2"/>
  <c r="G85" i="2"/>
  <c r="F85" i="2"/>
  <c r="E85" i="2"/>
  <c r="D85" i="2"/>
  <c r="Q86" i="2" l="1"/>
  <c r="P86" i="2"/>
  <c r="O86" i="2"/>
  <c r="H86" i="2"/>
  <c r="C86" i="2"/>
  <c r="W86" i="2"/>
  <c r="G86" i="2"/>
  <c r="L86" i="2"/>
  <c r="Z86" i="2"/>
  <c r="I86" i="2"/>
  <c r="V86" i="2"/>
  <c r="F86" i="2"/>
  <c r="M86" i="2"/>
  <c r="J86" i="2"/>
  <c r="X86" i="2"/>
  <c r="U86" i="2"/>
  <c r="E86" i="2"/>
  <c r="N86" i="2"/>
  <c r="K86" i="2"/>
  <c r="Y86" i="2"/>
  <c r="T86" i="2"/>
  <c r="K85" i="2"/>
</calcChain>
</file>

<file path=xl/sharedStrings.xml><?xml version="1.0" encoding="utf-8"?>
<sst xmlns="http://schemas.openxmlformats.org/spreadsheetml/2006/main" count="308" uniqueCount="150">
  <si>
    <t>Measurement Name :</t>
  </si>
  <si>
    <t>plate-c</t>
  </si>
  <si>
    <t>Generated On :</t>
  </si>
  <si>
    <t>08/04/2025, 13:03:17</t>
  </si>
  <si>
    <t>Start Date/Time:</t>
  </si>
  <si>
    <t>08/04/2025, 12:44:57</t>
  </si>
  <si>
    <t>End Date/Time:</t>
  </si>
  <si>
    <t>08/04/2025, 13:01:39</t>
  </si>
  <si>
    <t>User Comment :</t>
  </si>
  <si>
    <t>Meas. Created By :</t>
  </si>
  <si>
    <t>admin</t>
  </si>
  <si>
    <t>SDR Serial No. :</t>
  </si>
  <si>
    <t>S-819</t>
  </si>
  <si>
    <t>Report :</t>
  </si>
  <si>
    <t>@m01:IDENTIFICATION
_x000D_Serial number     : SEBX0008000819      
_x000D_MUX channel       : ON - 01
_x000D_
_x000D_PARAMETERS
_x000D_Sig LED current   : 040
_x000D_Ref LED current   : 043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</si>
  <si>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</si>
  <si>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</si>
  <si>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</si>
  <si>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[[%] Air Saturation]</t>
  </si>
  <si>
    <t xml:space="preserve">Batch No.:  </t>
  </si>
  <si>
    <t>PSt5-1624-01_25°C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</si>
  <si>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</si>
  <si>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</si>
  <si>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</si>
  <si>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</si>
  <si>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</si>
  <si>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</si>
  <si>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</si>
  <si>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</si>
  <si>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</si>
  <si>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</si>
  <si>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</si>
  <si>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</si>
  <si>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</si>
  <si>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</si>
  <si>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</si>
  <si>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</si>
  <si>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</si>
  <si>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</si>
  <si>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</si>
  <si>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</si>
  <si>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</si>
  <si>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</si>
  <si>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</si>
  <si>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</si>
  <si>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</si>
  <si>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</si>
  <si>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</si>
  <si>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</si>
  <si>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</si>
  <si>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</si>
  <si>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</si>
  <si>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</si>
  <si>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</si>
  <si>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</si>
  <si>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</si>
  <si>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</si>
  <si>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</si>
  <si>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</si>
  <si>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08.04.25 12:44:59</t>
  </si>
  <si>
    <t>08.04.25 12:45:14</t>
  </si>
  <si>
    <t>08.04.25 12:45:29</t>
  </si>
  <si>
    <t>08.04.25 12:45:44</t>
  </si>
  <si>
    <t>08.04.25 12:45:59</t>
  </si>
  <si>
    <t>08.04.25 12:46:14</t>
  </si>
  <si>
    <t>08.04.25 12:46:29</t>
  </si>
  <si>
    <t>08.04.25 12:46:44</t>
  </si>
  <si>
    <t>08.04.25 12:46:59</t>
  </si>
  <si>
    <t>08.04.25 12:47:14</t>
  </si>
  <si>
    <t>08.04.25 12:47:29</t>
  </si>
  <si>
    <t>08.04.25 12:47:44</t>
  </si>
  <si>
    <t>08.04.25 12:47:59</t>
  </si>
  <si>
    <t>08.04.25 12:48:14</t>
  </si>
  <si>
    <t>08.04.25 12:48:30</t>
  </si>
  <si>
    <t>08.04.25 12:48:45</t>
  </si>
  <si>
    <t>08.04.25 12:49:00</t>
  </si>
  <si>
    <t>08.04.25 12:49:15</t>
  </si>
  <si>
    <t>08.04.25 12:49:30</t>
  </si>
  <si>
    <t>08.04.25 12:49:45</t>
  </si>
  <si>
    <t>08.04.25 12:50:00</t>
  </si>
  <si>
    <t>08.04.25 12:50:15</t>
  </si>
  <si>
    <t>08.04.25 12:50:30</t>
  </si>
  <si>
    <t>08.04.25 12:50:45</t>
  </si>
  <si>
    <t>08.04.25 12:51:00</t>
  </si>
  <si>
    <t>08.04.25 12:51:15</t>
  </si>
  <si>
    <t>08.04.25 12:51:30</t>
  </si>
  <si>
    <t>08.04.25 12:51:45</t>
  </si>
  <si>
    <t>08.04.25 12:52:00</t>
  </si>
  <si>
    <t>08.04.25 12:52:15</t>
  </si>
  <si>
    <t>08.04.25 12:52:30</t>
  </si>
  <si>
    <t>08.04.25 12:52:45</t>
  </si>
  <si>
    <t>08.04.25 12:53:00</t>
  </si>
  <si>
    <t>08.04.25 12:53:16</t>
  </si>
  <si>
    <t>08.04.25 12:53:31</t>
  </si>
  <si>
    <t>08.04.25 12:53:46</t>
  </si>
  <si>
    <t>08.04.25 12:54:01</t>
  </si>
  <si>
    <t>08.04.25 12:54:16</t>
  </si>
  <si>
    <t>08.04.25 12:54:31</t>
  </si>
  <si>
    <t>08.04.25 12:54:46</t>
  </si>
  <si>
    <t>08.04.25 12:55:01</t>
  </si>
  <si>
    <t>08.04.25 12:55:16</t>
  </si>
  <si>
    <t>08.04.25 12:55:31</t>
  </si>
  <si>
    <t>08.04.25 12:55:46</t>
  </si>
  <si>
    <t>08.04.25 12:56:01</t>
  </si>
  <si>
    <t>08.04.25 12:56:16</t>
  </si>
  <si>
    <t>08.04.25 12:56:31</t>
  </si>
  <si>
    <t>08.04.25 12:56:46</t>
  </si>
  <si>
    <t>08.04.25 12:57:01</t>
  </si>
  <si>
    <t>08.04.25 12:57:16</t>
  </si>
  <si>
    <t>08.04.25 12:57:31</t>
  </si>
  <si>
    <t>08.04.25 12:57:46</t>
  </si>
  <si>
    <t>08.04.25 12:58:01</t>
  </si>
  <si>
    <t>08.04.25 12:58:16</t>
  </si>
  <si>
    <t>08.04.25 12:58:31</t>
  </si>
  <si>
    <t>08.04.25 12:58:46</t>
  </si>
  <si>
    <t>08.04.25 12:59:01</t>
  </si>
  <si>
    <t>08.04.25 12:59:16</t>
  </si>
  <si>
    <t>08.04.25 12:59:31</t>
  </si>
  <si>
    <t>08.04.25 12:59:46</t>
  </si>
  <si>
    <t>08.04.25 13:00:01</t>
  </si>
  <si>
    <t>08.04.25 13:00:16</t>
  </si>
  <si>
    <t>08.04.25 13:00:31</t>
  </si>
  <si>
    <t>08.04.25 13:00:46</t>
  </si>
  <si>
    <t>08.04.25 13:01:02</t>
  </si>
  <si>
    <t>08.04.25 13:01:17</t>
  </si>
  <si>
    <t>08.04.25 13:01:32</t>
  </si>
  <si>
    <t>BLANK</t>
  </si>
  <si>
    <t>BLNK AVERAGE</t>
  </si>
  <si>
    <t>Slope</t>
  </si>
  <si>
    <t>Posetiving</t>
  </si>
  <si>
    <t>WithoutBlank</t>
  </si>
  <si>
    <t>plateC_NF_27C_1</t>
  </si>
  <si>
    <t>plateC_HF_50m_1</t>
  </si>
  <si>
    <t>plateC_HF_50m_6</t>
  </si>
  <si>
    <t>plateC_HF_50m_11</t>
  </si>
  <si>
    <t>plateC_NF_27C_2</t>
  </si>
  <si>
    <t>plateC_HF_50m_2</t>
  </si>
  <si>
    <t>plateC_HF_50m_7</t>
  </si>
  <si>
    <t>plateC_HF_50m_12</t>
  </si>
  <si>
    <t>plateC_HF_50m_3</t>
  </si>
  <si>
    <t>plateC_HF_50m_8</t>
  </si>
  <si>
    <t>plateC_HF_50m_13</t>
  </si>
  <si>
    <t>plateC_NF_27C_3</t>
  </si>
  <si>
    <t>plateC_HF_50m_4</t>
  </si>
  <si>
    <t>plateC_HF_50m_9</t>
  </si>
  <si>
    <t>plateC_HF_50m_14</t>
  </si>
  <si>
    <t>plateC_NF_27C_4</t>
  </si>
  <si>
    <t>plateC_HF_50m_5</t>
  </si>
  <si>
    <t>plateC_HF_50m_15</t>
  </si>
  <si>
    <t>plateC_HF_50m_10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</si>
</sst>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7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6B8A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EFA45-C5D8-410D-9A5D-00E922F0F91E}">
  <sheetPr codeName="Sheet1"/>
  <dimension ref="A1:AF88"/>
  <sheetViews>
    <sheetView topLeftCell="A13" workbookViewId="0">
      <pane ySplit="1" topLeftCell="A14" activePane="bottomLeft" state="frozen"/>
      <selection activeCell="A13" sqref="A13"/>
      <selection pane="bottomLeft" activeCell="A83" sqref="A83:XFD88"/>
    </sheetView>
  </sheetViews>
  <sheetFormatPr defaultRowHeight="15" x14ac:dyDescent="0.25"/>
  <sheetData>
    <row r="1" spans="1:32" hidden="1" x14ac:dyDescent="0.2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t="s">
        <v>14</v>
      </c>
      <c r="N1" t="s">
        <v>15</v>
      </c>
      <c r="O1" t="s">
        <v>16</v>
      </c>
    </row>
    <row r="2" spans="1:32" hidden="1" x14ac:dyDescent="0.25">
      <c r="A2" t="s">
        <v>4</v>
      </c>
      <c r="B2" t="s">
        <v>5</v>
      </c>
      <c r="H2" t="s">
        <v>19</v>
      </c>
      <c r="I2" t="s">
        <v>20</v>
      </c>
    </row>
    <row r="3" spans="1:32" hidden="1" x14ac:dyDescent="0.25">
      <c r="A3" t="s">
        <v>6</v>
      </c>
      <c r="B3" t="s">
        <v>7</v>
      </c>
      <c r="H3" t="s">
        <v>22</v>
      </c>
      <c r="I3">
        <v>54.76</v>
      </c>
    </row>
    <row r="4" spans="1:32" hidden="1" x14ac:dyDescent="0.25">
      <c r="A4" t="s">
        <v>8</v>
      </c>
      <c r="B4">
        <v>0</v>
      </c>
      <c r="D4" t="s">
        <v>9</v>
      </c>
      <c r="E4" t="s">
        <v>10</v>
      </c>
      <c r="H4" t="s">
        <v>23</v>
      </c>
      <c r="I4">
        <v>47.47</v>
      </c>
    </row>
    <row r="5" spans="1:32" hidden="1" x14ac:dyDescent="0.25">
      <c r="A5" t="s">
        <v>11</v>
      </c>
      <c r="B5" t="s">
        <v>12</v>
      </c>
      <c r="H5" t="s">
        <v>24</v>
      </c>
      <c r="I5">
        <v>24.8</v>
      </c>
    </row>
    <row r="6" spans="1:32" hidden="1" x14ac:dyDescent="0.25">
      <c r="A6" t="s">
        <v>17</v>
      </c>
      <c r="B6" t="s">
        <v>18</v>
      </c>
      <c r="H6" t="s">
        <v>25</v>
      </c>
      <c r="I6">
        <v>24.8</v>
      </c>
    </row>
    <row r="7" spans="1:32" hidden="1" x14ac:dyDescent="0.25">
      <c r="H7" t="s">
        <v>26</v>
      </c>
      <c r="I7">
        <v>965</v>
      </c>
    </row>
    <row r="8" spans="1:32" hidden="1" x14ac:dyDescent="0.25">
      <c r="H8" t="s">
        <v>27</v>
      </c>
      <c r="I8">
        <v>100</v>
      </c>
    </row>
    <row r="9" spans="1:32" hidden="1" x14ac:dyDescent="0.25"/>
    <row r="10" spans="1:32" hidden="1" x14ac:dyDescent="0.25"/>
    <row r="11" spans="1:32" hidden="1" x14ac:dyDescent="0.25"/>
    <row r="12" spans="1:32" hidden="1" x14ac:dyDescent="0.25"/>
    <row r="13" spans="1:32" x14ac:dyDescent="0.2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25">
      <c r="A14" t="s">
        <v>59</v>
      </c>
      <c r="B14">
        <v>0.03</v>
      </c>
      <c r="C14">
        <v>99.99</v>
      </c>
      <c r="D14">
        <v>98.54</v>
      </c>
      <c r="E14">
        <v>79.81</v>
      </c>
      <c r="F14">
        <v>92.35</v>
      </c>
      <c r="G14">
        <v>88.12</v>
      </c>
      <c r="H14">
        <v>100.79</v>
      </c>
      <c r="I14">
        <v>59.84</v>
      </c>
      <c r="J14">
        <v>89.68</v>
      </c>
      <c r="K14">
        <v>96.94</v>
      </c>
      <c r="L14">
        <v>86.56</v>
      </c>
      <c r="M14">
        <v>74.52</v>
      </c>
      <c r="N14">
        <v>84.25</v>
      </c>
      <c r="O14">
        <v>99.83</v>
      </c>
      <c r="P14">
        <v>77.680000000000007</v>
      </c>
      <c r="Q14">
        <v>80.87</v>
      </c>
      <c r="R14">
        <v>100.79</v>
      </c>
      <c r="S14">
        <v>91.87</v>
      </c>
      <c r="T14">
        <v>79.2</v>
      </c>
      <c r="U14">
        <v>100.15</v>
      </c>
      <c r="V14">
        <v>83.48</v>
      </c>
      <c r="W14">
        <v>96.62</v>
      </c>
      <c r="X14">
        <v>99.02</v>
      </c>
      <c r="Y14">
        <v>90.3</v>
      </c>
      <c r="Z14">
        <v>100.31</v>
      </c>
      <c r="AB14">
        <v>23</v>
      </c>
      <c r="AC14">
        <v>965</v>
      </c>
      <c r="AD14">
        <v>39</v>
      </c>
      <c r="AE14">
        <v>22.4</v>
      </c>
    </row>
    <row r="15" spans="1:32" x14ac:dyDescent="0.25">
      <c r="A15" t="s">
        <v>60</v>
      </c>
      <c r="B15">
        <v>0.28000000000000003</v>
      </c>
      <c r="C15">
        <v>99.99</v>
      </c>
      <c r="D15">
        <v>98.54</v>
      </c>
      <c r="E15">
        <v>79.05</v>
      </c>
      <c r="F15">
        <v>92.35</v>
      </c>
      <c r="G15">
        <v>87.81</v>
      </c>
      <c r="H15">
        <v>100.63</v>
      </c>
      <c r="I15">
        <v>59.84</v>
      </c>
      <c r="J15">
        <v>89.37</v>
      </c>
      <c r="K15">
        <v>97.1</v>
      </c>
      <c r="L15">
        <v>86.41</v>
      </c>
      <c r="M15">
        <v>73.33</v>
      </c>
      <c r="N15">
        <v>83.78</v>
      </c>
      <c r="O15">
        <v>99.99</v>
      </c>
      <c r="P15">
        <v>77.08</v>
      </c>
      <c r="Q15">
        <v>80.569999999999993</v>
      </c>
      <c r="R15">
        <v>100.47</v>
      </c>
      <c r="S15">
        <v>91.09</v>
      </c>
      <c r="T15">
        <v>78.59</v>
      </c>
      <c r="U15">
        <v>99.83</v>
      </c>
      <c r="V15">
        <v>83.48</v>
      </c>
      <c r="W15">
        <v>96.94</v>
      </c>
      <c r="X15">
        <v>99.18</v>
      </c>
      <c r="Y15">
        <v>90.15</v>
      </c>
      <c r="Z15">
        <v>100.31</v>
      </c>
      <c r="AB15">
        <v>23</v>
      </c>
      <c r="AC15">
        <v>965</v>
      </c>
      <c r="AD15">
        <v>39</v>
      </c>
      <c r="AE15">
        <v>22.42</v>
      </c>
    </row>
    <row r="16" spans="1:32" x14ac:dyDescent="0.25">
      <c r="A16" t="s">
        <v>61</v>
      </c>
      <c r="B16">
        <v>0.53</v>
      </c>
      <c r="C16">
        <v>99.99</v>
      </c>
      <c r="D16">
        <v>98.54</v>
      </c>
      <c r="E16">
        <v>78.44</v>
      </c>
      <c r="F16">
        <v>92.5</v>
      </c>
      <c r="G16">
        <v>87.81</v>
      </c>
      <c r="H16">
        <v>100.47</v>
      </c>
      <c r="I16">
        <v>58.84</v>
      </c>
      <c r="J16">
        <v>89.21</v>
      </c>
      <c r="K16">
        <v>97.1</v>
      </c>
      <c r="L16">
        <v>86.56</v>
      </c>
      <c r="M16">
        <v>73.77</v>
      </c>
      <c r="N16">
        <v>83.48</v>
      </c>
      <c r="O16">
        <v>100.15</v>
      </c>
      <c r="P16">
        <v>76.930000000000007</v>
      </c>
      <c r="Q16">
        <v>80.72</v>
      </c>
      <c r="R16">
        <v>100.31</v>
      </c>
      <c r="S16">
        <v>91.24</v>
      </c>
      <c r="T16">
        <v>78.59</v>
      </c>
      <c r="U16">
        <v>99.99</v>
      </c>
      <c r="V16">
        <v>83.48</v>
      </c>
      <c r="W16">
        <v>97.1</v>
      </c>
      <c r="X16">
        <v>99.02</v>
      </c>
      <c r="Y16">
        <v>90.62</v>
      </c>
      <c r="Z16">
        <v>100.47</v>
      </c>
      <c r="AB16">
        <v>23</v>
      </c>
      <c r="AC16">
        <v>965</v>
      </c>
      <c r="AD16">
        <v>39</v>
      </c>
      <c r="AE16">
        <v>22.43</v>
      </c>
    </row>
    <row r="17" spans="1:31" x14ac:dyDescent="0.25">
      <c r="A17" t="s">
        <v>62</v>
      </c>
      <c r="B17">
        <v>0.78</v>
      </c>
      <c r="C17">
        <v>99.83</v>
      </c>
      <c r="D17">
        <v>98.38</v>
      </c>
      <c r="E17">
        <v>78.290000000000006</v>
      </c>
      <c r="F17">
        <v>91.56</v>
      </c>
      <c r="G17">
        <v>87.65</v>
      </c>
      <c r="H17">
        <v>100.47</v>
      </c>
      <c r="I17">
        <v>58.84</v>
      </c>
      <c r="J17">
        <v>89.37</v>
      </c>
      <c r="K17">
        <v>96.94</v>
      </c>
      <c r="L17">
        <v>86.41</v>
      </c>
      <c r="M17">
        <v>72.430000000000007</v>
      </c>
      <c r="N17">
        <v>83.48</v>
      </c>
      <c r="O17">
        <v>99.99</v>
      </c>
      <c r="P17">
        <v>76.48</v>
      </c>
      <c r="Q17">
        <v>80.42</v>
      </c>
      <c r="R17">
        <v>100.47</v>
      </c>
      <c r="S17">
        <v>90.93</v>
      </c>
      <c r="T17">
        <v>77.53</v>
      </c>
      <c r="U17">
        <v>99.51</v>
      </c>
      <c r="V17">
        <v>83.63</v>
      </c>
      <c r="W17">
        <v>96.31</v>
      </c>
      <c r="X17">
        <v>99.02</v>
      </c>
      <c r="Y17">
        <v>90.3</v>
      </c>
      <c r="Z17">
        <v>99.99</v>
      </c>
      <c r="AB17">
        <v>23</v>
      </c>
      <c r="AC17">
        <v>965</v>
      </c>
      <c r="AD17">
        <v>39</v>
      </c>
      <c r="AE17">
        <v>22.45</v>
      </c>
    </row>
    <row r="18" spans="1:31" x14ac:dyDescent="0.25">
      <c r="A18" t="s">
        <v>63</v>
      </c>
      <c r="B18">
        <v>1.03</v>
      </c>
      <c r="C18">
        <v>99.83</v>
      </c>
      <c r="D18">
        <v>98.7</v>
      </c>
      <c r="E18">
        <v>77.53</v>
      </c>
      <c r="F18">
        <v>91.56</v>
      </c>
      <c r="G18">
        <v>87.65</v>
      </c>
      <c r="H18">
        <v>100.79</v>
      </c>
      <c r="I18">
        <v>57.98</v>
      </c>
      <c r="J18">
        <v>89.52</v>
      </c>
      <c r="K18">
        <v>96.94</v>
      </c>
      <c r="L18">
        <v>86.41</v>
      </c>
      <c r="M18">
        <v>72.58</v>
      </c>
      <c r="N18">
        <v>83.32</v>
      </c>
      <c r="O18">
        <v>100.15</v>
      </c>
      <c r="P18">
        <v>76.17</v>
      </c>
      <c r="Q18">
        <v>79.81</v>
      </c>
      <c r="R18">
        <v>100.15</v>
      </c>
      <c r="S18">
        <v>91.24</v>
      </c>
      <c r="T18">
        <v>77.08</v>
      </c>
      <c r="U18">
        <v>99.83</v>
      </c>
      <c r="V18">
        <v>83.48</v>
      </c>
      <c r="W18">
        <v>96.78</v>
      </c>
      <c r="X18">
        <v>99.18</v>
      </c>
      <c r="Y18">
        <v>90.3</v>
      </c>
      <c r="Z18">
        <v>100.15</v>
      </c>
      <c r="AB18">
        <v>23</v>
      </c>
      <c r="AC18">
        <v>965</v>
      </c>
      <c r="AD18">
        <v>39</v>
      </c>
      <c r="AE18">
        <v>22.48</v>
      </c>
    </row>
    <row r="19" spans="1:31" x14ac:dyDescent="0.25">
      <c r="A19" t="s">
        <v>64</v>
      </c>
      <c r="B19">
        <v>1.28</v>
      </c>
      <c r="C19">
        <v>99.99</v>
      </c>
      <c r="D19">
        <v>98.7</v>
      </c>
      <c r="E19">
        <v>77.23</v>
      </c>
      <c r="F19">
        <v>91.4</v>
      </c>
      <c r="G19">
        <v>87.34</v>
      </c>
      <c r="H19">
        <v>100.95</v>
      </c>
      <c r="I19">
        <v>57.69</v>
      </c>
      <c r="J19">
        <v>89.21</v>
      </c>
      <c r="K19">
        <v>96.94</v>
      </c>
      <c r="L19">
        <v>86.56</v>
      </c>
      <c r="M19">
        <v>71.98</v>
      </c>
      <c r="N19">
        <v>83.17</v>
      </c>
      <c r="O19">
        <v>100.31</v>
      </c>
      <c r="P19">
        <v>76.33</v>
      </c>
      <c r="Q19">
        <v>79.5</v>
      </c>
      <c r="R19">
        <v>100.15</v>
      </c>
      <c r="S19">
        <v>90.77</v>
      </c>
      <c r="T19">
        <v>76.78</v>
      </c>
      <c r="U19">
        <v>99.83</v>
      </c>
      <c r="V19">
        <v>83.48</v>
      </c>
      <c r="W19">
        <v>97.1</v>
      </c>
      <c r="X19">
        <v>99.34</v>
      </c>
      <c r="Y19">
        <v>90.46</v>
      </c>
      <c r="Z19">
        <v>99.99</v>
      </c>
      <c r="AB19">
        <v>23</v>
      </c>
      <c r="AC19">
        <v>965</v>
      </c>
      <c r="AD19">
        <v>39</v>
      </c>
      <c r="AE19">
        <v>22.49</v>
      </c>
    </row>
    <row r="20" spans="1:31" x14ac:dyDescent="0.25">
      <c r="A20" t="s">
        <v>65</v>
      </c>
      <c r="B20">
        <v>1.53</v>
      </c>
      <c r="C20">
        <v>99.99</v>
      </c>
      <c r="D20">
        <v>98.7</v>
      </c>
      <c r="E20">
        <v>76.930000000000007</v>
      </c>
      <c r="F20">
        <v>91.24</v>
      </c>
      <c r="G20">
        <v>87.5</v>
      </c>
      <c r="H20">
        <v>100.79</v>
      </c>
      <c r="I20">
        <v>56.98</v>
      </c>
      <c r="J20">
        <v>89.05</v>
      </c>
      <c r="K20">
        <v>96.94</v>
      </c>
      <c r="L20">
        <v>86.41</v>
      </c>
      <c r="M20">
        <v>71.98</v>
      </c>
      <c r="N20">
        <v>82.86</v>
      </c>
      <c r="O20">
        <v>100.31</v>
      </c>
      <c r="P20">
        <v>75.87</v>
      </c>
      <c r="Q20">
        <v>79.2</v>
      </c>
      <c r="R20">
        <v>100.15</v>
      </c>
      <c r="S20">
        <v>90.77</v>
      </c>
      <c r="T20">
        <v>76.17</v>
      </c>
      <c r="U20">
        <v>99.99</v>
      </c>
      <c r="V20">
        <v>83.17</v>
      </c>
      <c r="W20">
        <v>97.1</v>
      </c>
      <c r="X20">
        <v>98.86</v>
      </c>
      <c r="Y20">
        <v>90.15</v>
      </c>
      <c r="Z20">
        <v>99.99</v>
      </c>
      <c r="AB20">
        <v>23</v>
      </c>
      <c r="AC20">
        <v>965</v>
      </c>
      <c r="AD20">
        <v>39</v>
      </c>
      <c r="AE20">
        <v>22.49</v>
      </c>
    </row>
    <row r="21" spans="1:31" x14ac:dyDescent="0.25">
      <c r="A21" t="s">
        <v>66</v>
      </c>
      <c r="B21">
        <v>1.78</v>
      </c>
      <c r="C21">
        <v>99.99</v>
      </c>
      <c r="D21">
        <v>98.7</v>
      </c>
      <c r="E21">
        <v>76.17</v>
      </c>
      <c r="F21">
        <v>90.62</v>
      </c>
      <c r="G21">
        <v>86.87</v>
      </c>
      <c r="H21">
        <v>100.79</v>
      </c>
      <c r="I21">
        <v>56.41</v>
      </c>
      <c r="J21">
        <v>89.05</v>
      </c>
      <c r="K21">
        <v>97.1</v>
      </c>
      <c r="L21">
        <v>86.41</v>
      </c>
      <c r="M21">
        <v>71.540000000000006</v>
      </c>
      <c r="N21">
        <v>82.86</v>
      </c>
      <c r="O21">
        <v>100.47</v>
      </c>
      <c r="P21">
        <v>75.42</v>
      </c>
      <c r="Q21">
        <v>78.900000000000006</v>
      </c>
      <c r="R21">
        <v>99.99</v>
      </c>
      <c r="S21">
        <v>90.3</v>
      </c>
      <c r="T21">
        <v>75.72</v>
      </c>
      <c r="U21">
        <v>99.67</v>
      </c>
      <c r="V21">
        <v>83.32</v>
      </c>
      <c r="W21">
        <v>96.78</v>
      </c>
      <c r="X21">
        <v>98.86</v>
      </c>
      <c r="Y21">
        <v>89.99</v>
      </c>
      <c r="Z21">
        <v>99.99</v>
      </c>
      <c r="AB21">
        <v>23</v>
      </c>
      <c r="AC21">
        <v>965</v>
      </c>
      <c r="AD21">
        <v>39</v>
      </c>
      <c r="AE21">
        <v>22.49</v>
      </c>
    </row>
    <row r="22" spans="1:31" x14ac:dyDescent="0.25">
      <c r="A22" t="s">
        <v>67</v>
      </c>
      <c r="B22">
        <v>2.0299999999999998</v>
      </c>
      <c r="C22">
        <v>99.83</v>
      </c>
      <c r="D22">
        <v>98.22</v>
      </c>
      <c r="E22">
        <v>76.02</v>
      </c>
      <c r="F22">
        <v>90.3</v>
      </c>
      <c r="G22">
        <v>86.87</v>
      </c>
      <c r="H22">
        <v>100.95</v>
      </c>
      <c r="I22">
        <v>55.98</v>
      </c>
      <c r="J22">
        <v>88.9</v>
      </c>
      <c r="K22">
        <v>96.94</v>
      </c>
      <c r="L22">
        <v>86.25</v>
      </c>
      <c r="M22">
        <v>71.239999999999995</v>
      </c>
      <c r="N22">
        <v>82.4</v>
      </c>
      <c r="O22">
        <v>100.15</v>
      </c>
      <c r="P22">
        <v>75.12</v>
      </c>
      <c r="Q22">
        <v>78.900000000000006</v>
      </c>
      <c r="R22">
        <v>99.99</v>
      </c>
      <c r="S22">
        <v>89.99</v>
      </c>
      <c r="T22">
        <v>75.27</v>
      </c>
      <c r="U22">
        <v>99.83</v>
      </c>
      <c r="V22">
        <v>83.48</v>
      </c>
      <c r="W22">
        <v>96.78</v>
      </c>
      <c r="X22">
        <v>99.34</v>
      </c>
      <c r="Y22">
        <v>90.15</v>
      </c>
      <c r="Z22">
        <v>100.31</v>
      </c>
      <c r="AB22">
        <v>23</v>
      </c>
      <c r="AC22">
        <v>965</v>
      </c>
      <c r="AD22">
        <v>39</v>
      </c>
      <c r="AE22">
        <v>22.49</v>
      </c>
    </row>
    <row r="23" spans="1:31" x14ac:dyDescent="0.25">
      <c r="A23" t="s">
        <v>68</v>
      </c>
      <c r="B23">
        <v>2.2799999999999998</v>
      </c>
      <c r="C23">
        <v>99.67</v>
      </c>
      <c r="D23">
        <v>98.38</v>
      </c>
      <c r="E23">
        <v>75.569999999999993</v>
      </c>
      <c r="F23">
        <v>90.15</v>
      </c>
      <c r="G23">
        <v>86.56</v>
      </c>
      <c r="H23">
        <v>100.63</v>
      </c>
      <c r="I23">
        <v>55.27</v>
      </c>
      <c r="J23">
        <v>88.74</v>
      </c>
      <c r="K23">
        <v>96.62</v>
      </c>
      <c r="L23">
        <v>86.41</v>
      </c>
      <c r="M23">
        <v>70.650000000000006</v>
      </c>
      <c r="N23">
        <v>82.4</v>
      </c>
      <c r="O23">
        <v>100.15</v>
      </c>
      <c r="P23">
        <v>74.52</v>
      </c>
      <c r="Q23">
        <v>78.290000000000006</v>
      </c>
      <c r="R23">
        <v>99.83</v>
      </c>
      <c r="S23">
        <v>89.99</v>
      </c>
      <c r="T23">
        <v>74.67</v>
      </c>
      <c r="U23">
        <v>99.67</v>
      </c>
      <c r="V23">
        <v>83.17</v>
      </c>
      <c r="W23">
        <v>96.78</v>
      </c>
      <c r="X23">
        <v>99.02</v>
      </c>
      <c r="Y23">
        <v>89.99</v>
      </c>
      <c r="Z23">
        <v>99.99</v>
      </c>
      <c r="AB23">
        <v>23</v>
      </c>
      <c r="AC23">
        <v>965</v>
      </c>
      <c r="AD23">
        <v>39</v>
      </c>
      <c r="AE23">
        <v>22.52</v>
      </c>
    </row>
    <row r="24" spans="1:31" x14ac:dyDescent="0.25">
      <c r="A24" t="s">
        <v>69</v>
      </c>
      <c r="B24">
        <v>2.5299999999999998</v>
      </c>
      <c r="C24">
        <v>100.15</v>
      </c>
      <c r="D24">
        <v>98.7</v>
      </c>
      <c r="E24">
        <v>75.12</v>
      </c>
      <c r="F24">
        <v>89.83</v>
      </c>
      <c r="G24">
        <v>86.25</v>
      </c>
      <c r="H24">
        <v>100.63</v>
      </c>
      <c r="I24">
        <v>54.56</v>
      </c>
      <c r="J24">
        <v>88.74</v>
      </c>
      <c r="K24">
        <v>96.94</v>
      </c>
      <c r="L24">
        <v>86.41</v>
      </c>
      <c r="M24">
        <v>70.5</v>
      </c>
      <c r="N24">
        <v>81.94</v>
      </c>
      <c r="O24">
        <v>100.47</v>
      </c>
      <c r="P24">
        <v>74.52</v>
      </c>
      <c r="Q24">
        <v>77.989999999999995</v>
      </c>
      <c r="R24">
        <v>100.15</v>
      </c>
      <c r="S24">
        <v>89.52</v>
      </c>
      <c r="T24">
        <v>74.52</v>
      </c>
      <c r="U24">
        <v>99.83</v>
      </c>
      <c r="V24">
        <v>83.02</v>
      </c>
      <c r="W24">
        <v>96.62</v>
      </c>
      <c r="X24">
        <v>99.34</v>
      </c>
      <c r="Y24">
        <v>89.83</v>
      </c>
      <c r="Z24">
        <v>100.15</v>
      </c>
      <c r="AB24">
        <v>23</v>
      </c>
      <c r="AC24">
        <v>965</v>
      </c>
      <c r="AD24">
        <v>39</v>
      </c>
      <c r="AE24">
        <v>22.52</v>
      </c>
    </row>
    <row r="25" spans="1:31" x14ac:dyDescent="0.25">
      <c r="A25" t="s">
        <v>70</v>
      </c>
      <c r="B25">
        <v>2.78</v>
      </c>
      <c r="C25">
        <v>99.99</v>
      </c>
      <c r="D25">
        <v>98.54</v>
      </c>
      <c r="E25">
        <v>74.67</v>
      </c>
      <c r="F25">
        <v>89.83</v>
      </c>
      <c r="G25">
        <v>86.41</v>
      </c>
      <c r="H25">
        <v>100.95</v>
      </c>
      <c r="I25">
        <v>53.71</v>
      </c>
      <c r="J25">
        <v>89.05</v>
      </c>
      <c r="K25">
        <v>96.94</v>
      </c>
      <c r="L25">
        <v>85.94</v>
      </c>
      <c r="M25">
        <v>70.5</v>
      </c>
      <c r="N25">
        <v>82.1</v>
      </c>
      <c r="O25">
        <v>100.31</v>
      </c>
      <c r="P25">
        <v>74.069999999999993</v>
      </c>
      <c r="Q25">
        <v>77.84</v>
      </c>
      <c r="R25">
        <v>99.83</v>
      </c>
      <c r="S25">
        <v>89.37</v>
      </c>
      <c r="T25">
        <v>73.77</v>
      </c>
      <c r="U25">
        <v>99.99</v>
      </c>
      <c r="V25">
        <v>83.32</v>
      </c>
      <c r="W25">
        <v>96.78</v>
      </c>
      <c r="X25">
        <v>99.18</v>
      </c>
      <c r="Y25">
        <v>89.68</v>
      </c>
      <c r="Z25">
        <v>99.99</v>
      </c>
      <c r="AB25">
        <v>23</v>
      </c>
      <c r="AC25">
        <v>965</v>
      </c>
      <c r="AD25">
        <v>39</v>
      </c>
      <c r="AE25">
        <v>22.54</v>
      </c>
    </row>
    <row r="26" spans="1:31" x14ac:dyDescent="0.25">
      <c r="A26" t="s">
        <v>71</v>
      </c>
      <c r="B26">
        <v>3.03</v>
      </c>
      <c r="C26">
        <v>100.15</v>
      </c>
      <c r="D26">
        <v>98.54</v>
      </c>
      <c r="E26">
        <v>74.52</v>
      </c>
      <c r="F26">
        <v>90.15</v>
      </c>
      <c r="G26">
        <v>86.1</v>
      </c>
      <c r="H26">
        <v>100.79</v>
      </c>
      <c r="I26">
        <v>53.14</v>
      </c>
      <c r="J26">
        <v>88.58</v>
      </c>
      <c r="K26">
        <v>96.94</v>
      </c>
      <c r="L26">
        <v>86.41</v>
      </c>
      <c r="M26">
        <v>70.349999999999994</v>
      </c>
      <c r="N26">
        <v>81.94</v>
      </c>
      <c r="O26">
        <v>100.15</v>
      </c>
      <c r="P26">
        <v>73.92</v>
      </c>
      <c r="Q26">
        <v>77.38</v>
      </c>
      <c r="R26">
        <v>99.34</v>
      </c>
      <c r="S26">
        <v>89.52</v>
      </c>
      <c r="T26">
        <v>73.33</v>
      </c>
      <c r="U26">
        <v>99.67</v>
      </c>
      <c r="V26">
        <v>82.86</v>
      </c>
      <c r="W26">
        <v>96.94</v>
      </c>
      <c r="X26">
        <v>99.18</v>
      </c>
      <c r="Y26">
        <v>89.68</v>
      </c>
      <c r="Z26">
        <v>99.83</v>
      </c>
      <c r="AB26">
        <v>23</v>
      </c>
      <c r="AC26">
        <v>965</v>
      </c>
      <c r="AD26">
        <v>39</v>
      </c>
      <c r="AE26">
        <v>22.54</v>
      </c>
    </row>
    <row r="27" spans="1:31" x14ac:dyDescent="0.25">
      <c r="A27" t="s">
        <v>72</v>
      </c>
      <c r="B27">
        <v>3.28</v>
      </c>
      <c r="C27">
        <v>99.99</v>
      </c>
      <c r="D27">
        <v>98.38</v>
      </c>
      <c r="E27">
        <v>73.92</v>
      </c>
      <c r="F27">
        <v>89.68</v>
      </c>
      <c r="G27">
        <v>86.25</v>
      </c>
      <c r="H27">
        <v>100.79</v>
      </c>
      <c r="I27">
        <v>52.3</v>
      </c>
      <c r="J27">
        <v>89.21</v>
      </c>
      <c r="K27">
        <v>96.78</v>
      </c>
      <c r="L27">
        <v>85.79</v>
      </c>
      <c r="M27">
        <v>69.760000000000005</v>
      </c>
      <c r="N27">
        <v>81.94</v>
      </c>
      <c r="O27">
        <v>100.63</v>
      </c>
      <c r="P27">
        <v>73.47</v>
      </c>
      <c r="Q27">
        <v>77.23</v>
      </c>
      <c r="R27">
        <v>99.83</v>
      </c>
      <c r="S27">
        <v>89.37</v>
      </c>
      <c r="T27">
        <v>73.180000000000007</v>
      </c>
      <c r="U27">
        <v>99.99</v>
      </c>
      <c r="V27">
        <v>83.02</v>
      </c>
      <c r="W27">
        <v>96.62</v>
      </c>
      <c r="X27">
        <v>98.86</v>
      </c>
      <c r="Y27">
        <v>89.68</v>
      </c>
      <c r="Z27">
        <v>99.99</v>
      </c>
      <c r="AB27">
        <v>23</v>
      </c>
      <c r="AC27">
        <v>965</v>
      </c>
      <c r="AD27">
        <v>39</v>
      </c>
      <c r="AE27">
        <v>22.56</v>
      </c>
    </row>
    <row r="28" spans="1:31" x14ac:dyDescent="0.25">
      <c r="A28" t="s">
        <v>73</v>
      </c>
      <c r="B28">
        <v>3.55</v>
      </c>
      <c r="C28">
        <v>99.67</v>
      </c>
      <c r="D28">
        <v>98.38</v>
      </c>
      <c r="E28">
        <v>73.33</v>
      </c>
      <c r="F28">
        <v>89.52</v>
      </c>
      <c r="G28">
        <v>85.94</v>
      </c>
      <c r="H28">
        <v>100.63</v>
      </c>
      <c r="I28">
        <v>51.17</v>
      </c>
      <c r="J28">
        <v>88.9</v>
      </c>
      <c r="K28">
        <v>97.1</v>
      </c>
      <c r="L28">
        <v>85.94</v>
      </c>
      <c r="M28">
        <v>69.61</v>
      </c>
      <c r="N28">
        <v>81.48</v>
      </c>
      <c r="O28">
        <v>100.31</v>
      </c>
      <c r="P28">
        <v>72.88</v>
      </c>
      <c r="Q28">
        <v>76.930000000000007</v>
      </c>
      <c r="R28">
        <v>99.67</v>
      </c>
      <c r="S28">
        <v>88.74</v>
      </c>
      <c r="T28">
        <v>72.430000000000007</v>
      </c>
      <c r="U28">
        <v>99.83</v>
      </c>
      <c r="V28">
        <v>83.02</v>
      </c>
      <c r="W28">
        <v>96.62</v>
      </c>
      <c r="X28">
        <v>98.86</v>
      </c>
      <c r="Y28">
        <v>89.68</v>
      </c>
      <c r="Z28">
        <v>99.67</v>
      </c>
      <c r="AB28">
        <v>23</v>
      </c>
      <c r="AC28">
        <v>965</v>
      </c>
      <c r="AD28">
        <v>39</v>
      </c>
      <c r="AE28">
        <v>22.56</v>
      </c>
    </row>
    <row r="29" spans="1:31" x14ac:dyDescent="0.25">
      <c r="A29" t="s">
        <v>74</v>
      </c>
      <c r="B29">
        <v>3.8</v>
      </c>
      <c r="C29">
        <v>99.99</v>
      </c>
      <c r="D29">
        <v>98.7</v>
      </c>
      <c r="E29">
        <v>73.180000000000007</v>
      </c>
      <c r="F29">
        <v>89.21</v>
      </c>
      <c r="G29">
        <v>85.63</v>
      </c>
      <c r="H29">
        <v>100.79</v>
      </c>
      <c r="I29">
        <v>50.75</v>
      </c>
      <c r="J29">
        <v>89.37</v>
      </c>
      <c r="K29">
        <v>96.94</v>
      </c>
      <c r="L29">
        <v>86.1</v>
      </c>
      <c r="M29">
        <v>68.87</v>
      </c>
      <c r="N29">
        <v>81.64</v>
      </c>
      <c r="O29">
        <v>100.31</v>
      </c>
      <c r="P29">
        <v>72.88</v>
      </c>
      <c r="Q29">
        <v>76.930000000000007</v>
      </c>
      <c r="R29">
        <v>99.51</v>
      </c>
      <c r="S29">
        <v>88.74</v>
      </c>
      <c r="T29">
        <v>72.28</v>
      </c>
      <c r="U29">
        <v>99.67</v>
      </c>
      <c r="V29">
        <v>83.02</v>
      </c>
      <c r="W29">
        <v>96.78</v>
      </c>
      <c r="X29">
        <v>99.18</v>
      </c>
      <c r="Y29">
        <v>89.21</v>
      </c>
      <c r="Z29">
        <v>99.99</v>
      </c>
      <c r="AB29">
        <v>23</v>
      </c>
      <c r="AC29">
        <v>965</v>
      </c>
      <c r="AD29">
        <v>39</v>
      </c>
      <c r="AE29">
        <v>22.58</v>
      </c>
    </row>
    <row r="30" spans="1:31" x14ac:dyDescent="0.25">
      <c r="A30" t="s">
        <v>75</v>
      </c>
      <c r="B30">
        <v>4.05</v>
      </c>
      <c r="C30">
        <v>100.15</v>
      </c>
      <c r="D30">
        <v>98.7</v>
      </c>
      <c r="E30">
        <v>72.73</v>
      </c>
      <c r="F30">
        <v>88.9</v>
      </c>
      <c r="G30">
        <v>85.94</v>
      </c>
      <c r="H30">
        <v>100.79</v>
      </c>
      <c r="I30">
        <v>49.91</v>
      </c>
      <c r="J30">
        <v>89.21</v>
      </c>
      <c r="K30">
        <v>97.42</v>
      </c>
      <c r="L30">
        <v>85.94</v>
      </c>
      <c r="M30">
        <v>68.72</v>
      </c>
      <c r="N30">
        <v>81.790000000000006</v>
      </c>
      <c r="O30">
        <v>100.63</v>
      </c>
      <c r="P30">
        <v>72.430000000000007</v>
      </c>
      <c r="Q30">
        <v>76.78</v>
      </c>
      <c r="R30">
        <v>99.51</v>
      </c>
      <c r="S30">
        <v>88.74</v>
      </c>
      <c r="T30">
        <v>72.13</v>
      </c>
      <c r="U30">
        <v>99.83</v>
      </c>
      <c r="V30">
        <v>82.86</v>
      </c>
      <c r="W30">
        <v>96.62</v>
      </c>
      <c r="X30">
        <v>99.02</v>
      </c>
      <c r="Y30">
        <v>89.68</v>
      </c>
      <c r="Z30">
        <v>99.67</v>
      </c>
      <c r="AB30">
        <v>23</v>
      </c>
      <c r="AC30">
        <v>965</v>
      </c>
      <c r="AD30">
        <v>39</v>
      </c>
      <c r="AE30">
        <v>22.58</v>
      </c>
    </row>
    <row r="31" spans="1:31" x14ac:dyDescent="0.25">
      <c r="A31" t="s">
        <v>76</v>
      </c>
      <c r="B31">
        <v>4.3</v>
      </c>
      <c r="C31">
        <v>99.67</v>
      </c>
      <c r="D31">
        <v>98.38</v>
      </c>
      <c r="E31">
        <v>72.28</v>
      </c>
      <c r="F31">
        <v>88.43</v>
      </c>
      <c r="G31">
        <v>85.63</v>
      </c>
      <c r="H31">
        <v>100.79</v>
      </c>
      <c r="I31">
        <v>48.8</v>
      </c>
      <c r="J31">
        <v>89.05</v>
      </c>
      <c r="K31">
        <v>97.1</v>
      </c>
      <c r="L31">
        <v>85.94</v>
      </c>
      <c r="M31">
        <v>68.58</v>
      </c>
      <c r="N31">
        <v>81.64</v>
      </c>
      <c r="O31">
        <v>99.99</v>
      </c>
      <c r="P31">
        <v>71.69</v>
      </c>
      <c r="Q31">
        <v>76.02</v>
      </c>
      <c r="R31">
        <v>99.34</v>
      </c>
      <c r="S31">
        <v>88.58</v>
      </c>
      <c r="T31">
        <v>71.69</v>
      </c>
      <c r="U31">
        <v>99.67</v>
      </c>
      <c r="V31">
        <v>82.71</v>
      </c>
      <c r="W31">
        <v>96.47</v>
      </c>
      <c r="X31">
        <v>99.02</v>
      </c>
      <c r="Y31">
        <v>89.52</v>
      </c>
      <c r="Z31">
        <v>99.67</v>
      </c>
      <c r="AB31">
        <v>23</v>
      </c>
      <c r="AC31">
        <v>965</v>
      </c>
      <c r="AD31">
        <v>39</v>
      </c>
      <c r="AE31">
        <v>22.58</v>
      </c>
    </row>
    <row r="32" spans="1:31" x14ac:dyDescent="0.25">
      <c r="A32" t="s">
        <v>77</v>
      </c>
      <c r="B32">
        <v>4.55</v>
      </c>
      <c r="C32">
        <v>99.99</v>
      </c>
      <c r="D32">
        <v>98.54</v>
      </c>
      <c r="E32">
        <v>72.28</v>
      </c>
      <c r="F32">
        <v>88.43</v>
      </c>
      <c r="G32">
        <v>85.63</v>
      </c>
      <c r="H32">
        <v>100.95</v>
      </c>
      <c r="I32">
        <v>48.38</v>
      </c>
      <c r="J32">
        <v>89.05</v>
      </c>
      <c r="K32">
        <v>97.42</v>
      </c>
      <c r="L32">
        <v>85.63</v>
      </c>
      <c r="M32">
        <v>68.58</v>
      </c>
      <c r="N32">
        <v>81.48</v>
      </c>
      <c r="O32">
        <v>100.31</v>
      </c>
      <c r="P32">
        <v>71.39</v>
      </c>
      <c r="Q32">
        <v>76.33</v>
      </c>
      <c r="R32">
        <v>99.67</v>
      </c>
      <c r="S32">
        <v>88.27</v>
      </c>
      <c r="T32">
        <v>71.39</v>
      </c>
      <c r="U32">
        <v>99.99</v>
      </c>
      <c r="V32">
        <v>83.02</v>
      </c>
      <c r="W32">
        <v>96.47</v>
      </c>
      <c r="X32">
        <v>99.34</v>
      </c>
      <c r="Y32">
        <v>89.52</v>
      </c>
      <c r="Z32">
        <v>99.67</v>
      </c>
      <c r="AB32">
        <v>23</v>
      </c>
      <c r="AC32">
        <v>965</v>
      </c>
      <c r="AD32">
        <v>39</v>
      </c>
      <c r="AE32">
        <v>22.58</v>
      </c>
    </row>
    <row r="33" spans="1:31" x14ac:dyDescent="0.25">
      <c r="A33" t="s">
        <v>78</v>
      </c>
      <c r="B33">
        <v>4.8</v>
      </c>
      <c r="C33">
        <v>99.99</v>
      </c>
      <c r="D33">
        <v>98.54</v>
      </c>
      <c r="E33">
        <v>71.540000000000006</v>
      </c>
      <c r="F33">
        <v>88.12</v>
      </c>
      <c r="G33">
        <v>85.02</v>
      </c>
      <c r="H33">
        <v>100.95</v>
      </c>
      <c r="I33">
        <v>47.54</v>
      </c>
      <c r="J33">
        <v>89.05</v>
      </c>
      <c r="K33">
        <v>97.26</v>
      </c>
      <c r="L33">
        <v>85.48</v>
      </c>
      <c r="M33">
        <v>68.28</v>
      </c>
      <c r="N33">
        <v>81.33</v>
      </c>
      <c r="O33">
        <v>100.15</v>
      </c>
      <c r="P33">
        <v>70.94</v>
      </c>
      <c r="Q33">
        <v>76.02</v>
      </c>
      <c r="R33">
        <v>99.34</v>
      </c>
      <c r="S33">
        <v>88.43</v>
      </c>
      <c r="T33">
        <v>71.239999999999995</v>
      </c>
      <c r="U33">
        <v>100.15</v>
      </c>
      <c r="V33">
        <v>82.86</v>
      </c>
      <c r="W33">
        <v>96.94</v>
      </c>
      <c r="X33">
        <v>99.34</v>
      </c>
      <c r="Y33">
        <v>89.37</v>
      </c>
      <c r="Z33">
        <v>100.15</v>
      </c>
      <c r="AB33">
        <v>23</v>
      </c>
      <c r="AC33">
        <v>965</v>
      </c>
      <c r="AD33">
        <v>39</v>
      </c>
      <c r="AE33">
        <v>22.58</v>
      </c>
    </row>
    <row r="34" spans="1:31" x14ac:dyDescent="0.25">
      <c r="A34" t="s">
        <v>79</v>
      </c>
      <c r="B34">
        <v>5.05</v>
      </c>
      <c r="C34">
        <v>100.15</v>
      </c>
      <c r="D34">
        <v>98.38</v>
      </c>
      <c r="E34">
        <v>71.09</v>
      </c>
      <c r="F34">
        <v>87.81</v>
      </c>
      <c r="G34">
        <v>85.33</v>
      </c>
      <c r="H34">
        <v>100.95</v>
      </c>
      <c r="I34">
        <v>46.57</v>
      </c>
      <c r="J34">
        <v>89.21</v>
      </c>
      <c r="K34">
        <v>97.26</v>
      </c>
      <c r="L34">
        <v>85.33</v>
      </c>
      <c r="M34">
        <v>68.13</v>
      </c>
      <c r="N34">
        <v>81.64</v>
      </c>
      <c r="O34">
        <v>100.47</v>
      </c>
      <c r="P34">
        <v>70.650000000000006</v>
      </c>
      <c r="Q34">
        <v>75.87</v>
      </c>
      <c r="R34">
        <v>99.18</v>
      </c>
      <c r="S34">
        <v>88.27</v>
      </c>
      <c r="T34">
        <v>70.650000000000006</v>
      </c>
      <c r="U34">
        <v>99.67</v>
      </c>
      <c r="V34">
        <v>82.71</v>
      </c>
      <c r="W34">
        <v>96.31</v>
      </c>
      <c r="X34">
        <v>99.18</v>
      </c>
      <c r="Y34">
        <v>89.52</v>
      </c>
      <c r="Z34">
        <v>99.51</v>
      </c>
      <c r="AB34">
        <v>23</v>
      </c>
      <c r="AC34">
        <v>965</v>
      </c>
      <c r="AD34">
        <v>39</v>
      </c>
      <c r="AE34">
        <v>22.59</v>
      </c>
    </row>
    <row r="35" spans="1:31" x14ac:dyDescent="0.25">
      <c r="A35" t="s">
        <v>80</v>
      </c>
      <c r="B35">
        <v>5.3</v>
      </c>
      <c r="C35">
        <v>99.67</v>
      </c>
      <c r="D35">
        <v>98.54</v>
      </c>
      <c r="E35">
        <v>70.94</v>
      </c>
      <c r="F35">
        <v>87.5</v>
      </c>
      <c r="G35">
        <v>84.71</v>
      </c>
      <c r="H35">
        <v>100.63</v>
      </c>
      <c r="I35">
        <v>45.74</v>
      </c>
      <c r="J35">
        <v>89.05</v>
      </c>
      <c r="K35">
        <v>97.42</v>
      </c>
      <c r="L35">
        <v>85.63</v>
      </c>
      <c r="M35">
        <v>67.84</v>
      </c>
      <c r="N35">
        <v>81.180000000000007</v>
      </c>
      <c r="O35">
        <v>100.31</v>
      </c>
      <c r="P35">
        <v>70.2</v>
      </c>
      <c r="Q35">
        <v>75.42</v>
      </c>
      <c r="R35">
        <v>99.34</v>
      </c>
      <c r="S35">
        <v>87.5</v>
      </c>
      <c r="T35">
        <v>70.2</v>
      </c>
      <c r="U35">
        <v>99.51</v>
      </c>
      <c r="V35">
        <v>82.71</v>
      </c>
      <c r="W35">
        <v>96.47</v>
      </c>
      <c r="X35">
        <v>99.51</v>
      </c>
      <c r="Y35">
        <v>89.37</v>
      </c>
      <c r="Z35">
        <v>99.51</v>
      </c>
      <c r="AB35">
        <v>23</v>
      </c>
      <c r="AC35">
        <v>965</v>
      </c>
      <c r="AD35">
        <v>39</v>
      </c>
      <c r="AE35">
        <v>22.59</v>
      </c>
    </row>
    <row r="36" spans="1:31" x14ac:dyDescent="0.25">
      <c r="A36" t="s">
        <v>81</v>
      </c>
      <c r="B36">
        <v>5.55</v>
      </c>
      <c r="C36">
        <v>100.15</v>
      </c>
      <c r="D36">
        <v>98.54</v>
      </c>
      <c r="E36">
        <v>70.5</v>
      </c>
      <c r="F36">
        <v>87.34</v>
      </c>
      <c r="G36">
        <v>85.02</v>
      </c>
      <c r="H36">
        <v>100.79</v>
      </c>
      <c r="I36">
        <v>45.05</v>
      </c>
      <c r="J36">
        <v>89.68</v>
      </c>
      <c r="K36">
        <v>97.42</v>
      </c>
      <c r="L36">
        <v>85.33</v>
      </c>
      <c r="M36">
        <v>67.55</v>
      </c>
      <c r="N36">
        <v>81.33</v>
      </c>
      <c r="O36">
        <v>100.31</v>
      </c>
      <c r="P36">
        <v>69.760000000000005</v>
      </c>
      <c r="Q36">
        <v>75.42</v>
      </c>
      <c r="R36">
        <v>99.34</v>
      </c>
      <c r="S36">
        <v>87.96</v>
      </c>
      <c r="T36">
        <v>69.91</v>
      </c>
      <c r="U36">
        <v>99.83</v>
      </c>
      <c r="V36">
        <v>82.56</v>
      </c>
      <c r="W36">
        <v>96.47</v>
      </c>
      <c r="X36">
        <v>99.18</v>
      </c>
      <c r="Y36">
        <v>89.52</v>
      </c>
      <c r="Z36">
        <v>99.83</v>
      </c>
      <c r="AB36">
        <v>23</v>
      </c>
      <c r="AC36">
        <v>965</v>
      </c>
      <c r="AD36">
        <v>39</v>
      </c>
      <c r="AE36">
        <v>22.61</v>
      </c>
    </row>
    <row r="37" spans="1:31" x14ac:dyDescent="0.25">
      <c r="A37" t="s">
        <v>82</v>
      </c>
      <c r="B37">
        <v>5.8</v>
      </c>
      <c r="C37">
        <v>99.99</v>
      </c>
      <c r="D37">
        <v>98.54</v>
      </c>
      <c r="E37">
        <v>70.349999999999994</v>
      </c>
      <c r="F37">
        <v>87.34</v>
      </c>
      <c r="G37">
        <v>84.71</v>
      </c>
      <c r="H37">
        <v>100.63</v>
      </c>
      <c r="I37">
        <v>44.64</v>
      </c>
      <c r="J37">
        <v>89.37</v>
      </c>
      <c r="K37">
        <v>97.26</v>
      </c>
      <c r="L37">
        <v>85.63</v>
      </c>
      <c r="M37">
        <v>67.69</v>
      </c>
      <c r="N37">
        <v>81.33</v>
      </c>
      <c r="O37">
        <v>100.15</v>
      </c>
      <c r="P37">
        <v>69.31</v>
      </c>
      <c r="Q37">
        <v>75.27</v>
      </c>
      <c r="R37">
        <v>99.34</v>
      </c>
      <c r="S37">
        <v>87.81</v>
      </c>
      <c r="T37">
        <v>69.31</v>
      </c>
      <c r="U37">
        <v>99.67</v>
      </c>
      <c r="V37">
        <v>82.56</v>
      </c>
      <c r="W37">
        <v>96.78</v>
      </c>
      <c r="X37">
        <v>99.34</v>
      </c>
      <c r="Y37">
        <v>89.05</v>
      </c>
      <c r="Z37">
        <v>99.99</v>
      </c>
      <c r="AB37">
        <v>23</v>
      </c>
      <c r="AC37">
        <v>965</v>
      </c>
      <c r="AD37">
        <v>39</v>
      </c>
      <c r="AE37">
        <v>22.61</v>
      </c>
    </row>
    <row r="38" spans="1:31" x14ac:dyDescent="0.25">
      <c r="A38" t="s">
        <v>83</v>
      </c>
      <c r="B38">
        <v>6.05</v>
      </c>
      <c r="C38">
        <v>99.83</v>
      </c>
      <c r="D38">
        <v>98.38</v>
      </c>
      <c r="E38">
        <v>69.760000000000005</v>
      </c>
      <c r="F38">
        <v>87.34</v>
      </c>
      <c r="G38">
        <v>84.71</v>
      </c>
      <c r="H38">
        <v>100.79</v>
      </c>
      <c r="I38">
        <v>44.09</v>
      </c>
      <c r="J38">
        <v>89.52</v>
      </c>
      <c r="K38">
        <v>97.26</v>
      </c>
      <c r="L38">
        <v>85.48</v>
      </c>
      <c r="M38">
        <v>67.11</v>
      </c>
      <c r="N38">
        <v>81.180000000000007</v>
      </c>
      <c r="O38">
        <v>100.63</v>
      </c>
      <c r="P38">
        <v>69.17</v>
      </c>
      <c r="Q38">
        <v>74.819999999999993</v>
      </c>
      <c r="R38">
        <v>99.18</v>
      </c>
      <c r="S38">
        <v>87.5</v>
      </c>
      <c r="T38">
        <v>69.17</v>
      </c>
      <c r="U38">
        <v>99.34</v>
      </c>
      <c r="V38">
        <v>82.56</v>
      </c>
      <c r="W38">
        <v>96.47</v>
      </c>
      <c r="X38">
        <v>99.34</v>
      </c>
      <c r="Y38">
        <v>89.37</v>
      </c>
      <c r="Z38">
        <v>99.51</v>
      </c>
      <c r="AB38">
        <v>23</v>
      </c>
      <c r="AC38">
        <v>965</v>
      </c>
      <c r="AD38">
        <v>39</v>
      </c>
      <c r="AE38">
        <v>22.63</v>
      </c>
    </row>
    <row r="39" spans="1:31" x14ac:dyDescent="0.25">
      <c r="A39" t="s">
        <v>84</v>
      </c>
      <c r="B39">
        <v>6.3</v>
      </c>
      <c r="C39">
        <v>99.83</v>
      </c>
      <c r="D39">
        <v>98.7</v>
      </c>
      <c r="E39">
        <v>69.17</v>
      </c>
      <c r="F39">
        <v>87.18</v>
      </c>
      <c r="G39">
        <v>84.4</v>
      </c>
      <c r="H39">
        <v>100.79</v>
      </c>
      <c r="I39">
        <v>43.13</v>
      </c>
      <c r="J39">
        <v>89.37</v>
      </c>
      <c r="K39">
        <v>97.1</v>
      </c>
      <c r="L39">
        <v>85.48</v>
      </c>
      <c r="M39">
        <v>66.959999999999994</v>
      </c>
      <c r="N39">
        <v>80.72</v>
      </c>
      <c r="O39">
        <v>100.63</v>
      </c>
      <c r="P39">
        <v>68.72</v>
      </c>
      <c r="Q39">
        <v>74.52</v>
      </c>
      <c r="R39">
        <v>99.02</v>
      </c>
      <c r="S39">
        <v>87.81</v>
      </c>
      <c r="T39">
        <v>68.87</v>
      </c>
      <c r="U39">
        <v>99.51</v>
      </c>
      <c r="V39">
        <v>82.4</v>
      </c>
      <c r="W39">
        <v>96.94</v>
      </c>
      <c r="X39">
        <v>99.34</v>
      </c>
      <c r="Y39">
        <v>89.21</v>
      </c>
      <c r="Z39">
        <v>99.51</v>
      </c>
      <c r="AB39">
        <v>23</v>
      </c>
      <c r="AC39">
        <v>965</v>
      </c>
      <c r="AD39">
        <v>39</v>
      </c>
      <c r="AE39">
        <v>22.63</v>
      </c>
    </row>
    <row r="40" spans="1:31" x14ac:dyDescent="0.25">
      <c r="A40" t="s">
        <v>85</v>
      </c>
      <c r="B40">
        <v>6.55</v>
      </c>
      <c r="C40">
        <v>99.83</v>
      </c>
      <c r="D40">
        <v>98.7</v>
      </c>
      <c r="E40">
        <v>69.17</v>
      </c>
      <c r="F40">
        <v>86.56</v>
      </c>
      <c r="G40">
        <v>84.09</v>
      </c>
      <c r="H40">
        <v>100.79</v>
      </c>
      <c r="I40">
        <v>42.85</v>
      </c>
      <c r="J40">
        <v>89.37</v>
      </c>
      <c r="K40">
        <v>96.94</v>
      </c>
      <c r="L40">
        <v>85.48</v>
      </c>
      <c r="M40">
        <v>66.37</v>
      </c>
      <c r="N40">
        <v>80.87</v>
      </c>
      <c r="O40">
        <v>100.15</v>
      </c>
      <c r="P40">
        <v>68.13</v>
      </c>
      <c r="Q40">
        <v>74.67</v>
      </c>
      <c r="R40">
        <v>98.7</v>
      </c>
      <c r="S40">
        <v>87.18</v>
      </c>
      <c r="T40">
        <v>68.28</v>
      </c>
      <c r="U40">
        <v>99.51</v>
      </c>
      <c r="V40">
        <v>82.4</v>
      </c>
      <c r="W40">
        <v>96.31</v>
      </c>
      <c r="X40">
        <v>99.18</v>
      </c>
      <c r="Y40">
        <v>89.52</v>
      </c>
      <c r="Z40">
        <v>99.83</v>
      </c>
      <c r="AB40">
        <v>23</v>
      </c>
      <c r="AC40">
        <v>965</v>
      </c>
      <c r="AD40">
        <v>39</v>
      </c>
      <c r="AE40">
        <v>22.63</v>
      </c>
    </row>
    <row r="41" spans="1:31" x14ac:dyDescent="0.25">
      <c r="A41" t="s">
        <v>86</v>
      </c>
      <c r="B41">
        <v>6.8</v>
      </c>
      <c r="C41">
        <v>100.15</v>
      </c>
      <c r="D41">
        <v>98.54</v>
      </c>
      <c r="E41">
        <v>68.87</v>
      </c>
      <c r="F41">
        <v>86.56</v>
      </c>
      <c r="G41">
        <v>83.94</v>
      </c>
      <c r="H41">
        <v>100.95</v>
      </c>
      <c r="I41">
        <v>42.17</v>
      </c>
      <c r="J41">
        <v>89.83</v>
      </c>
      <c r="K41">
        <v>97.1</v>
      </c>
      <c r="L41">
        <v>85.33</v>
      </c>
      <c r="M41">
        <v>66.37</v>
      </c>
      <c r="N41">
        <v>80.87</v>
      </c>
      <c r="O41">
        <v>100.47</v>
      </c>
      <c r="P41">
        <v>68.13</v>
      </c>
      <c r="Q41">
        <v>73.92</v>
      </c>
      <c r="R41">
        <v>99.02</v>
      </c>
      <c r="S41">
        <v>87.65</v>
      </c>
      <c r="T41">
        <v>67.989999999999995</v>
      </c>
      <c r="U41">
        <v>99.83</v>
      </c>
      <c r="V41">
        <v>82.1</v>
      </c>
      <c r="W41">
        <v>97.1</v>
      </c>
      <c r="X41">
        <v>99.51</v>
      </c>
      <c r="Y41">
        <v>89.37</v>
      </c>
      <c r="Z41">
        <v>99.83</v>
      </c>
      <c r="AB41">
        <v>23</v>
      </c>
      <c r="AC41">
        <v>965</v>
      </c>
      <c r="AD41">
        <v>39</v>
      </c>
      <c r="AE41">
        <v>22.63</v>
      </c>
    </row>
    <row r="42" spans="1:31" x14ac:dyDescent="0.25">
      <c r="A42" t="s">
        <v>87</v>
      </c>
      <c r="B42">
        <v>7.05</v>
      </c>
      <c r="C42">
        <v>99.99</v>
      </c>
      <c r="D42">
        <v>98.38</v>
      </c>
      <c r="E42">
        <v>68.58</v>
      </c>
      <c r="F42">
        <v>86.72</v>
      </c>
      <c r="G42">
        <v>84.09</v>
      </c>
      <c r="H42">
        <v>100.79</v>
      </c>
      <c r="I42">
        <v>41.62</v>
      </c>
      <c r="J42">
        <v>89.52</v>
      </c>
      <c r="K42">
        <v>97.1</v>
      </c>
      <c r="L42">
        <v>85.33</v>
      </c>
      <c r="M42">
        <v>66.37</v>
      </c>
      <c r="N42">
        <v>80.569999999999993</v>
      </c>
      <c r="O42">
        <v>100.47</v>
      </c>
      <c r="P42">
        <v>67.55</v>
      </c>
      <c r="Q42">
        <v>73.62</v>
      </c>
      <c r="R42">
        <v>98.7</v>
      </c>
      <c r="S42">
        <v>87.5</v>
      </c>
      <c r="T42">
        <v>67.84</v>
      </c>
      <c r="U42">
        <v>99.34</v>
      </c>
      <c r="V42">
        <v>82.1</v>
      </c>
      <c r="W42">
        <v>96.47</v>
      </c>
      <c r="X42">
        <v>99.18</v>
      </c>
      <c r="Y42">
        <v>89.21</v>
      </c>
      <c r="Z42">
        <v>99.67</v>
      </c>
      <c r="AB42">
        <v>23</v>
      </c>
      <c r="AC42">
        <v>965</v>
      </c>
      <c r="AD42">
        <v>39</v>
      </c>
      <c r="AE42">
        <v>22.66</v>
      </c>
    </row>
    <row r="43" spans="1:31" x14ac:dyDescent="0.25">
      <c r="A43" t="s">
        <v>88</v>
      </c>
      <c r="B43">
        <v>7.3</v>
      </c>
      <c r="C43">
        <v>99.99</v>
      </c>
      <c r="D43">
        <v>98.54</v>
      </c>
      <c r="E43">
        <v>67.989999999999995</v>
      </c>
      <c r="F43">
        <v>86.72</v>
      </c>
      <c r="G43">
        <v>84.09</v>
      </c>
      <c r="H43">
        <v>100.79</v>
      </c>
      <c r="I43">
        <v>41.21</v>
      </c>
      <c r="J43">
        <v>89.68</v>
      </c>
      <c r="K43">
        <v>96.94</v>
      </c>
      <c r="L43">
        <v>85.48</v>
      </c>
      <c r="M43">
        <v>65.930000000000007</v>
      </c>
      <c r="N43">
        <v>80.42</v>
      </c>
      <c r="O43">
        <v>100.47</v>
      </c>
      <c r="P43">
        <v>67.25</v>
      </c>
      <c r="Q43">
        <v>73.62</v>
      </c>
      <c r="R43">
        <v>98.86</v>
      </c>
      <c r="S43">
        <v>87.03</v>
      </c>
      <c r="T43">
        <v>67.69</v>
      </c>
      <c r="U43">
        <v>99.83</v>
      </c>
      <c r="V43">
        <v>81.94</v>
      </c>
      <c r="W43">
        <v>96.47</v>
      </c>
      <c r="X43">
        <v>99.34</v>
      </c>
      <c r="Y43">
        <v>89.52</v>
      </c>
      <c r="Z43">
        <v>99.83</v>
      </c>
      <c r="AB43">
        <v>23</v>
      </c>
      <c r="AC43">
        <v>965</v>
      </c>
      <c r="AD43">
        <v>39</v>
      </c>
      <c r="AE43">
        <v>22.65</v>
      </c>
    </row>
    <row r="44" spans="1:31" x14ac:dyDescent="0.25">
      <c r="A44" t="s">
        <v>89</v>
      </c>
      <c r="B44">
        <v>7.55</v>
      </c>
      <c r="C44">
        <v>100.15</v>
      </c>
      <c r="D44">
        <v>98.7</v>
      </c>
      <c r="E44">
        <v>67.989999999999995</v>
      </c>
      <c r="F44">
        <v>86.41</v>
      </c>
      <c r="G44">
        <v>83.63</v>
      </c>
      <c r="H44">
        <v>100.95</v>
      </c>
      <c r="I44">
        <v>40.67</v>
      </c>
      <c r="J44">
        <v>89.68</v>
      </c>
      <c r="K44">
        <v>97.42</v>
      </c>
      <c r="L44">
        <v>85.33</v>
      </c>
      <c r="M44">
        <v>65.790000000000006</v>
      </c>
      <c r="N44">
        <v>80.11</v>
      </c>
      <c r="O44">
        <v>100.63</v>
      </c>
      <c r="P44">
        <v>66.959999999999994</v>
      </c>
      <c r="Q44">
        <v>73.33</v>
      </c>
      <c r="R44">
        <v>98.7</v>
      </c>
      <c r="S44">
        <v>87.03</v>
      </c>
      <c r="T44">
        <v>67.55</v>
      </c>
      <c r="U44">
        <v>99.51</v>
      </c>
      <c r="V44">
        <v>81.790000000000006</v>
      </c>
      <c r="W44">
        <v>96.94</v>
      </c>
      <c r="X44">
        <v>99.02</v>
      </c>
      <c r="Y44">
        <v>89.21</v>
      </c>
      <c r="Z44">
        <v>99.67</v>
      </c>
      <c r="AB44">
        <v>23</v>
      </c>
      <c r="AC44">
        <v>965</v>
      </c>
      <c r="AD44">
        <v>39</v>
      </c>
      <c r="AE44">
        <v>22.65</v>
      </c>
    </row>
    <row r="45" spans="1:31" x14ac:dyDescent="0.25">
      <c r="A45" t="s">
        <v>90</v>
      </c>
      <c r="B45">
        <v>7.8</v>
      </c>
      <c r="C45">
        <v>99.99</v>
      </c>
      <c r="D45">
        <v>98.38</v>
      </c>
      <c r="E45">
        <v>67.400000000000006</v>
      </c>
      <c r="F45">
        <v>86.41</v>
      </c>
      <c r="G45">
        <v>83.78</v>
      </c>
      <c r="H45">
        <v>100.95</v>
      </c>
      <c r="I45">
        <v>40.39</v>
      </c>
      <c r="J45">
        <v>89.83</v>
      </c>
      <c r="K45">
        <v>96.94</v>
      </c>
      <c r="L45">
        <v>84.71</v>
      </c>
      <c r="M45">
        <v>65.64</v>
      </c>
      <c r="N45">
        <v>80.260000000000005</v>
      </c>
      <c r="O45">
        <v>100.47</v>
      </c>
      <c r="P45">
        <v>66.81</v>
      </c>
      <c r="Q45">
        <v>72.88</v>
      </c>
      <c r="R45">
        <v>99.02</v>
      </c>
      <c r="S45">
        <v>86.87</v>
      </c>
      <c r="T45">
        <v>67.25</v>
      </c>
      <c r="U45">
        <v>99.51</v>
      </c>
      <c r="V45">
        <v>81.94</v>
      </c>
      <c r="W45">
        <v>96.62</v>
      </c>
      <c r="X45">
        <v>99.18</v>
      </c>
      <c r="Y45">
        <v>89.37</v>
      </c>
      <c r="Z45">
        <v>99.67</v>
      </c>
      <c r="AB45">
        <v>23</v>
      </c>
      <c r="AC45">
        <v>965</v>
      </c>
      <c r="AD45">
        <v>39</v>
      </c>
      <c r="AE45">
        <v>22.65</v>
      </c>
    </row>
    <row r="46" spans="1:31" x14ac:dyDescent="0.25">
      <c r="A46" t="s">
        <v>91</v>
      </c>
      <c r="B46">
        <v>8.0500000000000007</v>
      </c>
      <c r="C46">
        <v>100.15</v>
      </c>
      <c r="D46">
        <v>98.86</v>
      </c>
      <c r="E46">
        <v>67.11</v>
      </c>
      <c r="F46">
        <v>86.41</v>
      </c>
      <c r="G46">
        <v>83.78</v>
      </c>
      <c r="H46">
        <v>100.79</v>
      </c>
      <c r="I46">
        <v>39.58</v>
      </c>
      <c r="J46">
        <v>89.83</v>
      </c>
      <c r="K46">
        <v>97.26</v>
      </c>
      <c r="L46">
        <v>85.17</v>
      </c>
      <c r="M46">
        <v>65.489999999999995</v>
      </c>
      <c r="N46">
        <v>79.81</v>
      </c>
      <c r="O46">
        <v>100.47</v>
      </c>
      <c r="P46">
        <v>66.37</v>
      </c>
      <c r="Q46">
        <v>72.430000000000007</v>
      </c>
      <c r="R46">
        <v>98.54</v>
      </c>
      <c r="S46">
        <v>86.72</v>
      </c>
      <c r="T46">
        <v>67.11</v>
      </c>
      <c r="U46">
        <v>99.83</v>
      </c>
      <c r="V46">
        <v>81.64</v>
      </c>
      <c r="W46">
        <v>96.62</v>
      </c>
      <c r="X46">
        <v>99.34</v>
      </c>
      <c r="Y46">
        <v>89.37</v>
      </c>
      <c r="Z46">
        <v>99.83</v>
      </c>
      <c r="AB46">
        <v>23</v>
      </c>
      <c r="AC46">
        <v>965</v>
      </c>
      <c r="AD46">
        <v>39</v>
      </c>
      <c r="AE46">
        <v>22.66</v>
      </c>
    </row>
    <row r="47" spans="1:31" x14ac:dyDescent="0.25">
      <c r="A47" t="s">
        <v>92</v>
      </c>
      <c r="B47">
        <v>8.32</v>
      </c>
      <c r="C47">
        <v>99.99</v>
      </c>
      <c r="D47">
        <v>98.86</v>
      </c>
      <c r="E47">
        <v>66.959999999999994</v>
      </c>
      <c r="F47">
        <v>86.56</v>
      </c>
      <c r="G47">
        <v>83.63</v>
      </c>
      <c r="H47">
        <v>100.79</v>
      </c>
      <c r="I47">
        <v>38.76</v>
      </c>
      <c r="J47">
        <v>89.83</v>
      </c>
      <c r="K47">
        <v>97.42</v>
      </c>
      <c r="L47">
        <v>84.71</v>
      </c>
      <c r="M47">
        <v>65.06</v>
      </c>
      <c r="N47">
        <v>79.66</v>
      </c>
      <c r="O47">
        <v>100.47</v>
      </c>
      <c r="P47">
        <v>66.08</v>
      </c>
      <c r="Q47">
        <v>72.13</v>
      </c>
      <c r="R47">
        <v>98.86</v>
      </c>
      <c r="S47">
        <v>87.03</v>
      </c>
      <c r="T47">
        <v>66.959999999999994</v>
      </c>
      <c r="U47">
        <v>99.67</v>
      </c>
      <c r="V47">
        <v>81.790000000000006</v>
      </c>
      <c r="W47">
        <v>97.1</v>
      </c>
      <c r="X47">
        <v>99.67</v>
      </c>
      <c r="Y47">
        <v>89.21</v>
      </c>
      <c r="Z47">
        <v>99.99</v>
      </c>
      <c r="AB47">
        <v>23</v>
      </c>
      <c r="AC47">
        <v>965</v>
      </c>
      <c r="AD47">
        <v>39</v>
      </c>
      <c r="AE47">
        <v>22.66</v>
      </c>
    </row>
    <row r="48" spans="1:31" x14ac:dyDescent="0.25">
      <c r="A48" t="s">
        <v>93</v>
      </c>
      <c r="B48">
        <v>8.57</v>
      </c>
      <c r="C48">
        <v>100.15</v>
      </c>
      <c r="D48">
        <v>98.86</v>
      </c>
      <c r="E48">
        <v>66.67</v>
      </c>
      <c r="F48">
        <v>86.25</v>
      </c>
      <c r="G48">
        <v>83.48</v>
      </c>
      <c r="H48">
        <v>100.79</v>
      </c>
      <c r="I48">
        <v>38.630000000000003</v>
      </c>
      <c r="J48">
        <v>89.83</v>
      </c>
      <c r="K48">
        <v>96.94</v>
      </c>
      <c r="L48">
        <v>85.02</v>
      </c>
      <c r="M48">
        <v>64.760000000000005</v>
      </c>
      <c r="N48">
        <v>79.66</v>
      </c>
      <c r="O48">
        <v>100.47</v>
      </c>
      <c r="P48">
        <v>65.790000000000006</v>
      </c>
      <c r="Q48">
        <v>71.83</v>
      </c>
      <c r="R48">
        <v>98.86</v>
      </c>
      <c r="S48">
        <v>87.18</v>
      </c>
      <c r="T48">
        <v>66.67</v>
      </c>
      <c r="U48">
        <v>100.15</v>
      </c>
      <c r="V48">
        <v>81.64</v>
      </c>
      <c r="W48">
        <v>97.1</v>
      </c>
      <c r="X48">
        <v>99.18</v>
      </c>
      <c r="Y48">
        <v>89.21</v>
      </c>
      <c r="Z48">
        <v>99.67</v>
      </c>
      <c r="AB48">
        <v>23</v>
      </c>
      <c r="AC48">
        <v>965</v>
      </c>
      <c r="AD48">
        <v>39</v>
      </c>
      <c r="AE48">
        <v>22.67</v>
      </c>
    </row>
    <row r="49" spans="1:31" x14ac:dyDescent="0.25">
      <c r="A49" t="s">
        <v>94</v>
      </c>
      <c r="B49">
        <v>8.82</v>
      </c>
      <c r="C49">
        <v>99.99</v>
      </c>
      <c r="D49">
        <v>98.54</v>
      </c>
      <c r="E49">
        <v>66.23</v>
      </c>
      <c r="F49">
        <v>86.41</v>
      </c>
      <c r="G49">
        <v>83.17</v>
      </c>
      <c r="H49">
        <v>100.79</v>
      </c>
      <c r="I49">
        <v>37.82</v>
      </c>
      <c r="J49">
        <v>89.68</v>
      </c>
      <c r="K49">
        <v>96.94</v>
      </c>
      <c r="L49">
        <v>84.86</v>
      </c>
      <c r="M49">
        <v>64.760000000000005</v>
      </c>
      <c r="N49">
        <v>79.5</v>
      </c>
      <c r="O49">
        <v>100.63</v>
      </c>
      <c r="P49">
        <v>65.489999999999995</v>
      </c>
      <c r="Q49">
        <v>71.83</v>
      </c>
      <c r="R49">
        <v>98.38</v>
      </c>
      <c r="S49">
        <v>87.03</v>
      </c>
      <c r="T49">
        <v>66.81</v>
      </c>
      <c r="U49">
        <v>99.67</v>
      </c>
      <c r="V49">
        <v>81.64</v>
      </c>
      <c r="W49">
        <v>96.47</v>
      </c>
      <c r="X49">
        <v>99.18</v>
      </c>
      <c r="Y49">
        <v>89.21</v>
      </c>
      <c r="Z49">
        <v>99.67</v>
      </c>
      <c r="AB49">
        <v>23</v>
      </c>
      <c r="AC49">
        <v>965</v>
      </c>
      <c r="AD49">
        <v>39</v>
      </c>
      <c r="AE49">
        <v>22.66</v>
      </c>
    </row>
    <row r="50" spans="1:31" x14ac:dyDescent="0.25">
      <c r="A50" t="s">
        <v>95</v>
      </c>
      <c r="B50">
        <v>9.07</v>
      </c>
      <c r="C50">
        <v>99.99</v>
      </c>
      <c r="D50">
        <v>98.86</v>
      </c>
      <c r="E50">
        <v>66.08</v>
      </c>
      <c r="F50">
        <v>86.72</v>
      </c>
      <c r="G50">
        <v>83.32</v>
      </c>
      <c r="H50">
        <v>100.79</v>
      </c>
      <c r="I50">
        <v>37.28</v>
      </c>
      <c r="J50">
        <v>89.83</v>
      </c>
      <c r="K50">
        <v>97.1</v>
      </c>
      <c r="L50">
        <v>84.55</v>
      </c>
      <c r="M50">
        <v>64.760000000000005</v>
      </c>
      <c r="N50">
        <v>79.349999999999994</v>
      </c>
      <c r="O50">
        <v>100.47</v>
      </c>
      <c r="P50">
        <v>65.2</v>
      </c>
      <c r="Q50">
        <v>71.39</v>
      </c>
      <c r="R50">
        <v>98.7</v>
      </c>
      <c r="S50">
        <v>86.87</v>
      </c>
      <c r="T50">
        <v>66.23</v>
      </c>
      <c r="U50">
        <v>100.15</v>
      </c>
      <c r="V50">
        <v>81.48</v>
      </c>
      <c r="W50">
        <v>96.94</v>
      </c>
      <c r="X50">
        <v>99.02</v>
      </c>
      <c r="Y50">
        <v>89.05</v>
      </c>
      <c r="Z50">
        <v>99.83</v>
      </c>
      <c r="AB50">
        <v>23</v>
      </c>
      <c r="AC50">
        <v>965</v>
      </c>
      <c r="AD50">
        <v>39</v>
      </c>
      <c r="AE50">
        <v>22.68</v>
      </c>
    </row>
    <row r="51" spans="1:31" x14ac:dyDescent="0.25">
      <c r="A51" t="s">
        <v>96</v>
      </c>
      <c r="B51">
        <v>9.32</v>
      </c>
      <c r="C51">
        <v>99.99</v>
      </c>
      <c r="D51">
        <v>98.86</v>
      </c>
      <c r="E51">
        <v>65.489999999999995</v>
      </c>
      <c r="F51">
        <v>86.72</v>
      </c>
      <c r="G51">
        <v>83.32</v>
      </c>
      <c r="H51">
        <v>100.95</v>
      </c>
      <c r="I51">
        <v>37.28</v>
      </c>
      <c r="J51">
        <v>90.15</v>
      </c>
      <c r="K51">
        <v>97.26</v>
      </c>
      <c r="L51">
        <v>84.86</v>
      </c>
      <c r="M51">
        <v>64.180000000000007</v>
      </c>
      <c r="N51">
        <v>79.05</v>
      </c>
      <c r="O51">
        <v>100.47</v>
      </c>
      <c r="P51">
        <v>65.06</v>
      </c>
      <c r="Q51">
        <v>71.09</v>
      </c>
      <c r="R51">
        <v>98.54</v>
      </c>
      <c r="S51">
        <v>86.72</v>
      </c>
      <c r="T51">
        <v>66.37</v>
      </c>
      <c r="U51">
        <v>100.15</v>
      </c>
      <c r="V51">
        <v>81.03</v>
      </c>
      <c r="W51">
        <v>96.78</v>
      </c>
      <c r="X51">
        <v>99.67</v>
      </c>
      <c r="Y51">
        <v>88.74</v>
      </c>
      <c r="Z51">
        <v>99.99</v>
      </c>
      <c r="AB51">
        <v>23</v>
      </c>
      <c r="AC51">
        <v>965</v>
      </c>
      <c r="AD51">
        <v>39</v>
      </c>
      <c r="AE51">
        <v>22.68</v>
      </c>
    </row>
    <row r="52" spans="1:31" x14ac:dyDescent="0.25">
      <c r="A52" t="s">
        <v>97</v>
      </c>
      <c r="B52">
        <v>9.57</v>
      </c>
      <c r="C52">
        <v>99.99</v>
      </c>
      <c r="D52">
        <v>98.7</v>
      </c>
      <c r="E52">
        <v>65.349999999999994</v>
      </c>
      <c r="F52">
        <v>86.72</v>
      </c>
      <c r="G52">
        <v>83.32</v>
      </c>
      <c r="H52">
        <v>100.95</v>
      </c>
      <c r="I52">
        <v>36.869999999999997</v>
      </c>
      <c r="J52">
        <v>89.99</v>
      </c>
      <c r="K52">
        <v>97.58</v>
      </c>
      <c r="L52">
        <v>84.86</v>
      </c>
      <c r="M52">
        <v>63.89</v>
      </c>
      <c r="N52">
        <v>78.900000000000006</v>
      </c>
      <c r="O52">
        <v>100.47</v>
      </c>
      <c r="P52">
        <v>64.760000000000005</v>
      </c>
      <c r="Q52">
        <v>70.94</v>
      </c>
      <c r="R52">
        <v>98.22</v>
      </c>
      <c r="S52">
        <v>86.72</v>
      </c>
      <c r="T52">
        <v>66.23</v>
      </c>
      <c r="U52">
        <v>99.83</v>
      </c>
      <c r="V52">
        <v>81.48</v>
      </c>
      <c r="W52">
        <v>96.94</v>
      </c>
      <c r="X52">
        <v>99.67</v>
      </c>
      <c r="Y52">
        <v>89.05</v>
      </c>
      <c r="Z52">
        <v>100.15</v>
      </c>
      <c r="AB52">
        <v>23</v>
      </c>
      <c r="AC52">
        <v>965</v>
      </c>
      <c r="AD52">
        <v>39</v>
      </c>
      <c r="AE52">
        <v>22.68</v>
      </c>
    </row>
    <row r="53" spans="1:31" x14ac:dyDescent="0.25">
      <c r="A53" t="s">
        <v>98</v>
      </c>
      <c r="B53">
        <v>9.82</v>
      </c>
      <c r="C53">
        <v>99.99</v>
      </c>
      <c r="D53">
        <v>98.22</v>
      </c>
      <c r="E53">
        <v>65.2</v>
      </c>
      <c r="F53">
        <v>86.72</v>
      </c>
      <c r="G53">
        <v>82.86</v>
      </c>
      <c r="H53">
        <v>100.63</v>
      </c>
      <c r="I53">
        <v>36.6</v>
      </c>
      <c r="J53">
        <v>89.83</v>
      </c>
      <c r="K53">
        <v>97.42</v>
      </c>
      <c r="L53">
        <v>84.86</v>
      </c>
      <c r="M53">
        <v>63.75</v>
      </c>
      <c r="N53">
        <v>78.739999999999995</v>
      </c>
      <c r="O53">
        <v>100.31</v>
      </c>
      <c r="P53">
        <v>64.62</v>
      </c>
      <c r="Q53">
        <v>70.5</v>
      </c>
      <c r="R53">
        <v>98.7</v>
      </c>
      <c r="S53">
        <v>86.72</v>
      </c>
      <c r="T53">
        <v>65.930000000000007</v>
      </c>
      <c r="U53">
        <v>99.83</v>
      </c>
      <c r="V53">
        <v>80.87</v>
      </c>
      <c r="W53">
        <v>96.78</v>
      </c>
      <c r="X53">
        <v>99.18</v>
      </c>
      <c r="Y53">
        <v>88.74</v>
      </c>
      <c r="Z53">
        <v>100.31</v>
      </c>
      <c r="AB53">
        <v>23</v>
      </c>
      <c r="AC53">
        <v>965</v>
      </c>
      <c r="AD53">
        <v>39</v>
      </c>
      <c r="AE53">
        <v>22.68</v>
      </c>
    </row>
    <row r="54" spans="1:31" x14ac:dyDescent="0.25">
      <c r="A54" t="s">
        <v>99</v>
      </c>
      <c r="B54">
        <v>10.07</v>
      </c>
      <c r="C54">
        <v>99.99</v>
      </c>
      <c r="D54">
        <v>98.54</v>
      </c>
      <c r="E54">
        <v>64.760000000000005</v>
      </c>
      <c r="F54">
        <v>86.72</v>
      </c>
      <c r="G54">
        <v>83.17</v>
      </c>
      <c r="H54">
        <v>100.79</v>
      </c>
      <c r="I54">
        <v>36.200000000000003</v>
      </c>
      <c r="J54">
        <v>89.83</v>
      </c>
      <c r="K54">
        <v>97.58</v>
      </c>
      <c r="L54">
        <v>84.86</v>
      </c>
      <c r="M54">
        <v>63.6</v>
      </c>
      <c r="N54">
        <v>78.290000000000006</v>
      </c>
      <c r="O54">
        <v>100.47</v>
      </c>
      <c r="P54">
        <v>64.040000000000006</v>
      </c>
      <c r="Q54">
        <v>70.349999999999994</v>
      </c>
      <c r="R54">
        <v>98.22</v>
      </c>
      <c r="S54">
        <v>86.41</v>
      </c>
      <c r="T54">
        <v>65.790000000000006</v>
      </c>
      <c r="U54">
        <v>99.83</v>
      </c>
      <c r="V54">
        <v>80.72</v>
      </c>
      <c r="W54">
        <v>96.31</v>
      </c>
      <c r="X54">
        <v>99.67</v>
      </c>
      <c r="Y54">
        <v>88.74</v>
      </c>
      <c r="Z54">
        <v>99.83</v>
      </c>
      <c r="AB54">
        <v>23</v>
      </c>
      <c r="AC54">
        <v>965</v>
      </c>
      <c r="AD54">
        <v>39</v>
      </c>
      <c r="AE54">
        <v>22.68</v>
      </c>
    </row>
    <row r="55" spans="1:31" x14ac:dyDescent="0.25">
      <c r="A55" t="s">
        <v>100</v>
      </c>
      <c r="B55">
        <v>10.32</v>
      </c>
      <c r="C55">
        <v>100.15</v>
      </c>
      <c r="D55">
        <v>98.86</v>
      </c>
      <c r="E55">
        <v>64.180000000000007</v>
      </c>
      <c r="F55">
        <v>86.56</v>
      </c>
      <c r="G55">
        <v>83.17</v>
      </c>
      <c r="H55">
        <v>100.79</v>
      </c>
      <c r="I55">
        <v>35.659999999999997</v>
      </c>
      <c r="J55">
        <v>89.99</v>
      </c>
      <c r="K55">
        <v>97.42</v>
      </c>
      <c r="L55">
        <v>84.86</v>
      </c>
      <c r="M55">
        <v>63.45</v>
      </c>
      <c r="N55">
        <v>77.84</v>
      </c>
      <c r="O55">
        <v>100.47</v>
      </c>
      <c r="P55">
        <v>64.040000000000006</v>
      </c>
      <c r="Q55">
        <v>70.5</v>
      </c>
      <c r="R55">
        <v>98.54</v>
      </c>
      <c r="S55">
        <v>86.72</v>
      </c>
      <c r="T55">
        <v>65.64</v>
      </c>
      <c r="U55">
        <v>99.83</v>
      </c>
      <c r="V55">
        <v>80.72</v>
      </c>
      <c r="W55">
        <v>96.62</v>
      </c>
      <c r="X55">
        <v>99.34</v>
      </c>
      <c r="Y55">
        <v>88.9</v>
      </c>
      <c r="Z55">
        <v>99.99</v>
      </c>
      <c r="AB55">
        <v>23</v>
      </c>
      <c r="AC55">
        <v>965</v>
      </c>
      <c r="AD55">
        <v>39</v>
      </c>
      <c r="AE55">
        <v>22.7</v>
      </c>
    </row>
    <row r="56" spans="1:31" x14ac:dyDescent="0.25">
      <c r="A56" t="s">
        <v>101</v>
      </c>
      <c r="B56">
        <v>10.57</v>
      </c>
      <c r="C56">
        <v>99.99</v>
      </c>
      <c r="D56">
        <v>98.54</v>
      </c>
      <c r="E56">
        <v>64.180000000000007</v>
      </c>
      <c r="F56">
        <v>86.72</v>
      </c>
      <c r="G56">
        <v>82.86</v>
      </c>
      <c r="H56">
        <v>101.12</v>
      </c>
      <c r="I56">
        <v>35.39</v>
      </c>
      <c r="J56">
        <v>90.15</v>
      </c>
      <c r="K56">
        <v>97.1</v>
      </c>
      <c r="L56">
        <v>84.71</v>
      </c>
      <c r="M56">
        <v>63.02</v>
      </c>
      <c r="N56">
        <v>77.53</v>
      </c>
      <c r="O56">
        <v>100.31</v>
      </c>
      <c r="P56">
        <v>63.6</v>
      </c>
      <c r="Q56">
        <v>70.05</v>
      </c>
      <c r="R56">
        <v>98.22</v>
      </c>
      <c r="S56">
        <v>86.72</v>
      </c>
      <c r="T56">
        <v>65.930000000000007</v>
      </c>
      <c r="U56">
        <v>99.83</v>
      </c>
      <c r="V56">
        <v>80.72</v>
      </c>
      <c r="W56">
        <v>96.94</v>
      </c>
      <c r="X56">
        <v>99.18</v>
      </c>
      <c r="Y56">
        <v>88.9</v>
      </c>
      <c r="Z56">
        <v>99.51</v>
      </c>
      <c r="AB56">
        <v>23</v>
      </c>
      <c r="AC56">
        <v>965</v>
      </c>
      <c r="AD56">
        <v>39</v>
      </c>
      <c r="AE56">
        <v>22.7</v>
      </c>
    </row>
    <row r="57" spans="1:31" x14ac:dyDescent="0.25">
      <c r="A57" t="s">
        <v>102</v>
      </c>
      <c r="B57">
        <v>10.82</v>
      </c>
      <c r="C57">
        <v>100.15</v>
      </c>
      <c r="D57">
        <v>98.54</v>
      </c>
      <c r="E57">
        <v>64.040000000000006</v>
      </c>
      <c r="F57">
        <v>86.41</v>
      </c>
      <c r="G57">
        <v>82.71</v>
      </c>
      <c r="H57">
        <v>100.79</v>
      </c>
      <c r="I57">
        <v>34.590000000000003</v>
      </c>
      <c r="J57">
        <v>89.68</v>
      </c>
      <c r="K57">
        <v>97.58</v>
      </c>
      <c r="L57">
        <v>84.71</v>
      </c>
      <c r="M57">
        <v>62.73</v>
      </c>
      <c r="N57">
        <v>77.84</v>
      </c>
      <c r="O57">
        <v>100.15</v>
      </c>
      <c r="P57">
        <v>63.45</v>
      </c>
      <c r="Q57">
        <v>69.61</v>
      </c>
      <c r="R57">
        <v>98.38</v>
      </c>
      <c r="S57">
        <v>86.72</v>
      </c>
      <c r="T57">
        <v>65.489999999999995</v>
      </c>
      <c r="U57">
        <v>99.51</v>
      </c>
      <c r="V57">
        <v>80.569999999999993</v>
      </c>
      <c r="W57">
        <v>97.26</v>
      </c>
      <c r="X57">
        <v>99.67</v>
      </c>
      <c r="Y57">
        <v>88.74</v>
      </c>
      <c r="Z57">
        <v>99.67</v>
      </c>
      <c r="AB57">
        <v>23</v>
      </c>
      <c r="AC57">
        <v>965</v>
      </c>
      <c r="AD57">
        <v>39</v>
      </c>
      <c r="AE57">
        <v>22.68</v>
      </c>
    </row>
    <row r="58" spans="1:31" x14ac:dyDescent="0.25">
      <c r="A58" t="s">
        <v>103</v>
      </c>
      <c r="B58">
        <v>11.07</v>
      </c>
      <c r="C58">
        <v>99.67</v>
      </c>
      <c r="D58">
        <v>98.54</v>
      </c>
      <c r="E58">
        <v>63.6</v>
      </c>
      <c r="F58">
        <v>86.72</v>
      </c>
      <c r="G58">
        <v>82.56</v>
      </c>
      <c r="H58">
        <v>100.79</v>
      </c>
      <c r="I58">
        <v>34.049999999999997</v>
      </c>
      <c r="J58">
        <v>89.83</v>
      </c>
      <c r="K58">
        <v>97.42</v>
      </c>
      <c r="L58">
        <v>84.55</v>
      </c>
      <c r="M58">
        <v>62.73</v>
      </c>
      <c r="N58">
        <v>77.53</v>
      </c>
      <c r="O58">
        <v>100.47</v>
      </c>
      <c r="P58">
        <v>63.31</v>
      </c>
      <c r="Q58">
        <v>69.17</v>
      </c>
      <c r="R58">
        <v>98.38</v>
      </c>
      <c r="S58">
        <v>86.72</v>
      </c>
      <c r="T58">
        <v>65.64</v>
      </c>
      <c r="U58">
        <v>99.51</v>
      </c>
      <c r="V58">
        <v>80.569999999999993</v>
      </c>
      <c r="W58">
        <v>96.47</v>
      </c>
      <c r="X58">
        <v>98.86</v>
      </c>
      <c r="Y58">
        <v>88.74</v>
      </c>
      <c r="Z58">
        <v>99.83</v>
      </c>
      <c r="AB58">
        <v>23</v>
      </c>
      <c r="AC58">
        <v>965</v>
      </c>
      <c r="AD58">
        <v>39</v>
      </c>
      <c r="AE58">
        <v>22.7</v>
      </c>
    </row>
    <row r="59" spans="1:31" x14ac:dyDescent="0.25">
      <c r="A59" t="s">
        <v>104</v>
      </c>
      <c r="B59">
        <v>11.32</v>
      </c>
      <c r="C59">
        <v>99.99</v>
      </c>
      <c r="D59">
        <v>98.54</v>
      </c>
      <c r="E59">
        <v>63.31</v>
      </c>
      <c r="F59">
        <v>86.41</v>
      </c>
      <c r="G59">
        <v>82.86</v>
      </c>
      <c r="H59">
        <v>100.79</v>
      </c>
      <c r="I59">
        <v>33.39</v>
      </c>
      <c r="J59">
        <v>89.99</v>
      </c>
      <c r="K59">
        <v>97.42</v>
      </c>
      <c r="L59">
        <v>84.09</v>
      </c>
      <c r="M59">
        <v>62.44</v>
      </c>
      <c r="N59">
        <v>77.38</v>
      </c>
      <c r="O59">
        <v>100.31</v>
      </c>
      <c r="P59">
        <v>63.16</v>
      </c>
      <c r="Q59">
        <v>69.17</v>
      </c>
      <c r="R59">
        <v>98.22</v>
      </c>
      <c r="S59">
        <v>86.56</v>
      </c>
      <c r="T59">
        <v>65.489999999999995</v>
      </c>
      <c r="U59">
        <v>99.83</v>
      </c>
      <c r="V59">
        <v>80.42</v>
      </c>
      <c r="W59">
        <v>97.42</v>
      </c>
      <c r="X59">
        <v>99.51</v>
      </c>
      <c r="Y59">
        <v>88.43</v>
      </c>
      <c r="Z59">
        <v>99.83</v>
      </c>
      <c r="AB59">
        <v>23</v>
      </c>
      <c r="AC59">
        <v>965</v>
      </c>
      <c r="AD59">
        <v>39</v>
      </c>
      <c r="AE59">
        <v>22.7</v>
      </c>
    </row>
    <row r="60" spans="1:31" x14ac:dyDescent="0.25">
      <c r="A60" t="s">
        <v>105</v>
      </c>
      <c r="B60">
        <v>11.57</v>
      </c>
      <c r="C60">
        <v>99.99</v>
      </c>
      <c r="D60">
        <v>98.38</v>
      </c>
      <c r="E60">
        <v>62.87</v>
      </c>
      <c r="F60">
        <v>86.72</v>
      </c>
      <c r="G60">
        <v>82.86</v>
      </c>
      <c r="H60">
        <v>100.95</v>
      </c>
      <c r="I60">
        <v>33.119999999999997</v>
      </c>
      <c r="J60">
        <v>89.68</v>
      </c>
      <c r="K60">
        <v>97.58</v>
      </c>
      <c r="L60">
        <v>84.4</v>
      </c>
      <c r="M60">
        <v>62.29</v>
      </c>
      <c r="N60">
        <v>77.08</v>
      </c>
      <c r="O60">
        <v>100.47</v>
      </c>
      <c r="P60">
        <v>62.87</v>
      </c>
      <c r="Q60">
        <v>69.17</v>
      </c>
      <c r="R60">
        <v>98.54</v>
      </c>
      <c r="S60">
        <v>86.41</v>
      </c>
      <c r="T60">
        <v>65.2</v>
      </c>
      <c r="U60">
        <v>99.67</v>
      </c>
      <c r="V60">
        <v>80.11</v>
      </c>
      <c r="W60">
        <v>96.47</v>
      </c>
      <c r="X60">
        <v>99.34</v>
      </c>
      <c r="Y60">
        <v>88.43</v>
      </c>
      <c r="Z60">
        <v>99.99</v>
      </c>
      <c r="AB60">
        <v>23</v>
      </c>
      <c r="AC60">
        <v>965</v>
      </c>
      <c r="AD60">
        <v>39</v>
      </c>
      <c r="AE60">
        <v>22.7</v>
      </c>
    </row>
    <row r="61" spans="1:31" x14ac:dyDescent="0.25">
      <c r="A61" t="s">
        <v>106</v>
      </c>
      <c r="B61">
        <v>11.82</v>
      </c>
      <c r="C61">
        <v>99.99</v>
      </c>
      <c r="D61">
        <v>98.7</v>
      </c>
      <c r="E61">
        <v>62.87</v>
      </c>
      <c r="F61">
        <v>86.87</v>
      </c>
      <c r="G61">
        <v>82.71</v>
      </c>
      <c r="H61">
        <v>100.79</v>
      </c>
      <c r="I61">
        <v>32.590000000000003</v>
      </c>
      <c r="J61">
        <v>89.99</v>
      </c>
      <c r="K61">
        <v>97.9</v>
      </c>
      <c r="L61">
        <v>84.55</v>
      </c>
      <c r="M61">
        <v>61.72</v>
      </c>
      <c r="N61">
        <v>77.38</v>
      </c>
      <c r="O61">
        <v>100.47</v>
      </c>
      <c r="P61">
        <v>63.02</v>
      </c>
      <c r="Q61">
        <v>69.02</v>
      </c>
      <c r="R61">
        <v>98.06</v>
      </c>
      <c r="S61">
        <v>86.56</v>
      </c>
      <c r="T61">
        <v>65.349999999999994</v>
      </c>
      <c r="U61">
        <v>99.83</v>
      </c>
      <c r="V61">
        <v>80.11</v>
      </c>
      <c r="W61">
        <v>96.78</v>
      </c>
      <c r="X61">
        <v>99.67</v>
      </c>
      <c r="Y61">
        <v>88.43</v>
      </c>
      <c r="Z61">
        <v>100.15</v>
      </c>
      <c r="AB61">
        <v>23</v>
      </c>
      <c r="AC61">
        <v>965</v>
      </c>
      <c r="AD61">
        <v>39</v>
      </c>
      <c r="AE61">
        <v>22.72</v>
      </c>
    </row>
    <row r="62" spans="1:31" x14ac:dyDescent="0.25">
      <c r="A62" t="s">
        <v>107</v>
      </c>
      <c r="B62">
        <v>12.07</v>
      </c>
      <c r="C62">
        <v>99.67</v>
      </c>
      <c r="D62">
        <v>98.38</v>
      </c>
      <c r="E62">
        <v>62.29</v>
      </c>
      <c r="F62">
        <v>86.72</v>
      </c>
      <c r="G62">
        <v>82.71</v>
      </c>
      <c r="H62">
        <v>100.79</v>
      </c>
      <c r="I62">
        <v>32.19</v>
      </c>
      <c r="J62">
        <v>89.83</v>
      </c>
      <c r="K62">
        <v>97.42</v>
      </c>
      <c r="L62">
        <v>84.55</v>
      </c>
      <c r="M62">
        <v>61.86</v>
      </c>
      <c r="N62">
        <v>76.78</v>
      </c>
      <c r="O62">
        <v>100.63</v>
      </c>
      <c r="P62">
        <v>62.73</v>
      </c>
      <c r="Q62">
        <v>68.58</v>
      </c>
      <c r="R62">
        <v>98.22</v>
      </c>
      <c r="S62">
        <v>86.41</v>
      </c>
      <c r="T62">
        <v>65.2</v>
      </c>
      <c r="U62">
        <v>99.67</v>
      </c>
      <c r="V62">
        <v>80.260000000000005</v>
      </c>
      <c r="W62">
        <v>96.78</v>
      </c>
      <c r="X62">
        <v>99.67</v>
      </c>
      <c r="Y62">
        <v>88.27</v>
      </c>
      <c r="Z62">
        <v>99.83</v>
      </c>
      <c r="AB62">
        <v>23</v>
      </c>
      <c r="AC62">
        <v>965</v>
      </c>
      <c r="AD62">
        <v>39</v>
      </c>
      <c r="AE62">
        <v>22.7</v>
      </c>
    </row>
    <row r="63" spans="1:31" x14ac:dyDescent="0.25">
      <c r="A63" t="s">
        <v>108</v>
      </c>
      <c r="B63">
        <v>12.32</v>
      </c>
      <c r="C63">
        <v>99.99</v>
      </c>
      <c r="D63">
        <v>98.38</v>
      </c>
      <c r="E63">
        <v>62</v>
      </c>
      <c r="F63">
        <v>87.03</v>
      </c>
      <c r="G63">
        <v>82.56</v>
      </c>
      <c r="H63">
        <v>100.47</v>
      </c>
      <c r="I63">
        <v>31.79</v>
      </c>
      <c r="J63">
        <v>89.99</v>
      </c>
      <c r="K63">
        <v>96.94</v>
      </c>
      <c r="L63">
        <v>84.09</v>
      </c>
      <c r="M63">
        <v>61.14</v>
      </c>
      <c r="N63">
        <v>76.33</v>
      </c>
      <c r="O63">
        <v>100.63</v>
      </c>
      <c r="P63">
        <v>62.73</v>
      </c>
      <c r="Q63">
        <v>68.430000000000007</v>
      </c>
      <c r="R63">
        <v>98.06</v>
      </c>
      <c r="S63">
        <v>86.41</v>
      </c>
      <c r="T63">
        <v>65.06</v>
      </c>
      <c r="U63">
        <v>99.67</v>
      </c>
      <c r="V63">
        <v>80.260000000000005</v>
      </c>
      <c r="W63">
        <v>97.1</v>
      </c>
      <c r="X63">
        <v>99.51</v>
      </c>
      <c r="Y63">
        <v>88.43</v>
      </c>
      <c r="Z63">
        <v>99.99</v>
      </c>
      <c r="AB63">
        <v>23</v>
      </c>
      <c r="AC63">
        <v>965</v>
      </c>
      <c r="AD63">
        <v>39</v>
      </c>
      <c r="AE63">
        <v>22.72</v>
      </c>
    </row>
    <row r="64" spans="1:31" x14ac:dyDescent="0.25">
      <c r="A64" t="s">
        <v>109</v>
      </c>
      <c r="B64">
        <v>12.57</v>
      </c>
      <c r="C64">
        <v>99.83</v>
      </c>
      <c r="D64">
        <v>98.7</v>
      </c>
      <c r="E64">
        <v>61.86</v>
      </c>
      <c r="F64">
        <v>87.18</v>
      </c>
      <c r="G64">
        <v>82.56</v>
      </c>
      <c r="H64">
        <v>100.63</v>
      </c>
      <c r="I64">
        <v>31.39</v>
      </c>
      <c r="J64">
        <v>89.68</v>
      </c>
      <c r="K64">
        <v>97.42</v>
      </c>
      <c r="L64">
        <v>84.4</v>
      </c>
      <c r="M64">
        <v>60.99</v>
      </c>
      <c r="N64">
        <v>76.63</v>
      </c>
      <c r="O64">
        <v>100.47</v>
      </c>
      <c r="P64">
        <v>62.58</v>
      </c>
      <c r="Q64">
        <v>68.28</v>
      </c>
      <c r="R64">
        <v>97.9</v>
      </c>
      <c r="S64">
        <v>86.1</v>
      </c>
      <c r="T64">
        <v>64.91</v>
      </c>
      <c r="U64">
        <v>99.67</v>
      </c>
      <c r="V64">
        <v>80.11</v>
      </c>
      <c r="W64">
        <v>96.94</v>
      </c>
      <c r="X64">
        <v>99.83</v>
      </c>
      <c r="Y64">
        <v>88.12</v>
      </c>
      <c r="Z64">
        <v>99.34</v>
      </c>
      <c r="AB64">
        <v>23</v>
      </c>
      <c r="AC64">
        <v>965</v>
      </c>
      <c r="AD64">
        <v>39</v>
      </c>
      <c r="AE64">
        <v>22.72</v>
      </c>
    </row>
    <row r="65" spans="1:31" x14ac:dyDescent="0.25">
      <c r="A65" t="s">
        <v>110</v>
      </c>
      <c r="B65">
        <v>12.82</v>
      </c>
      <c r="C65">
        <v>100.31</v>
      </c>
      <c r="D65">
        <v>98.54</v>
      </c>
      <c r="E65">
        <v>61.57</v>
      </c>
      <c r="F65">
        <v>86.87</v>
      </c>
      <c r="G65">
        <v>82.25</v>
      </c>
      <c r="H65">
        <v>100.79</v>
      </c>
      <c r="I65">
        <v>31.12</v>
      </c>
      <c r="J65">
        <v>90.15</v>
      </c>
      <c r="K65">
        <v>97.58</v>
      </c>
      <c r="L65">
        <v>84.55</v>
      </c>
      <c r="M65">
        <v>60.99</v>
      </c>
      <c r="N65">
        <v>76.48</v>
      </c>
      <c r="O65">
        <v>100.79</v>
      </c>
      <c r="P65">
        <v>62.87</v>
      </c>
      <c r="Q65">
        <v>68.430000000000007</v>
      </c>
      <c r="R65">
        <v>98.22</v>
      </c>
      <c r="S65">
        <v>86.56</v>
      </c>
      <c r="T65">
        <v>64.760000000000005</v>
      </c>
      <c r="U65">
        <v>99.99</v>
      </c>
      <c r="V65">
        <v>80.11</v>
      </c>
      <c r="W65">
        <v>96.94</v>
      </c>
      <c r="X65">
        <v>99.67</v>
      </c>
      <c r="Y65">
        <v>88.12</v>
      </c>
      <c r="Z65">
        <v>99.83</v>
      </c>
      <c r="AB65">
        <v>23</v>
      </c>
      <c r="AC65">
        <v>965</v>
      </c>
      <c r="AD65">
        <v>39</v>
      </c>
      <c r="AE65">
        <v>22.74</v>
      </c>
    </row>
    <row r="66" spans="1:31" x14ac:dyDescent="0.25">
      <c r="A66" t="s">
        <v>111</v>
      </c>
      <c r="B66">
        <v>13.07</v>
      </c>
      <c r="C66">
        <v>99.99</v>
      </c>
      <c r="D66">
        <v>98.38</v>
      </c>
      <c r="E66">
        <v>61.14</v>
      </c>
      <c r="F66">
        <v>86.56</v>
      </c>
      <c r="G66">
        <v>82.4</v>
      </c>
      <c r="H66">
        <v>100.95</v>
      </c>
      <c r="I66">
        <v>30.73</v>
      </c>
      <c r="J66">
        <v>89.52</v>
      </c>
      <c r="K66">
        <v>97.26</v>
      </c>
      <c r="L66">
        <v>84.25</v>
      </c>
      <c r="M66">
        <v>60.56</v>
      </c>
      <c r="N66">
        <v>75.87</v>
      </c>
      <c r="O66">
        <v>100.63</v>
      </c>
      <c r="P66">
        <v>62.58</v>
      </c>
      <c r="Q66">
        <v>68.13</v>
      </c>
      <c r="R66">
        <v>97.9</v>
      </c>
      <c r="S66">
        <v>86.25</v>
      </c>
      <c r="T66">
        <v>64.47</v>
      </c>
      <c r="U66">
        <v>99.99</v>
      </c>
      <c r="V66">
        <v>80.11</v>
      </c>
      <c r="W66">
        <v>96.94</v>
      </c>
      <c r="X66">
        <v>99.34</v>
      </c>
      <c r="Y66">
        <v>88.43</v>
      </c>
      <c r="Z66">
        <v>99.51</v>
      </c>
      <c r="AB66">
        <v>23</v>
      </c>
      <c r="AC66">
        <v>965</v>
      </c>
      <c r="AD66">
        <v>39</v>
      </c>
      <c r="AE66">
        <v>22.73</v>
      </c>
    </row>
    <row r="67" spans="1:31" x14ac:dyDescent="0.25">
      <c r="A67" t="s">
        <v>112</v>
      </c>
      <c r="B67">
        <v>13.32</v>
      </c>
      <c r="C67">
        <v>99.83</v>
      </c>
      <c r="D67">
        <v>98.7</v>
      </c>
      <c r="E67">
        <v>61.28</v>
      </c>
      <c r="F67">
        <v>86.87</v>
      </c>
      <c r="G67">
        <v>82.4</v>
      </c>
      <c r="H67">
        <v>100.95</v>
      </c>
      <c r="I67">
        <v>30.59</v>
      </c>
      <c r="J67">
        <v>89.52</v>
      </c>
      <c r="K67">
        <v>97.42</v>
      </c>
      <c r="L67">
        <v>84.09</v>
      </c>
      <c r="M67">
        <v>60.42</v>
      </c>
      <c r="N67">
        <v>76.02</v>
      </c>
      <c r="O67">
        <v>100.79</v>
      </c>
      <c r="P67">
        <v>62.87</v>
      </c>
      <c r="Q67">
        <v>67.84</v>
      </c>
      <c r="R67">
        <v>97.9</v>
      </c>
      <c r="S67">
        <v>86.72</v>
      </c>
      <c r="T67">
        <v>64.62</v>
      </c>
      <c r="U67">
        <v>100.15</v>
      </c>
      <c r="V67">
        <v>80.260000000000005</v>
      </c>
      <c r="W67">
        <v>97.58</v>
      </c>
      <c r="X67">
        <v>99.18</v>
      </c>
      <c r="Y67">
        <v>88.43</v>
      </c>
      <c r="Z67">
        <v>99.99</v>
      </c>
      <c r="AB67">
        <v>23</v>
      </c>
      <c r="AC67">
        <v>965</v>
      </c>
      <c r="AD67">
        <v>39</v>
      </c>
      <c r="AE67">
        <v>22.74</v>
      </c>
    </row>
    <row r="68" spans="1:31" x14ac:dyDescent="0.25">
      <c r="A68" t="s">
        <v>113</v>
      </c>
      <c r="B68">
        <v>13.57</v>
      </c>
      <c r="C68">
        <v>100.15</v>
      </c>
      <c r="D68">
        <v>98.38</v>
      </c>
      <c r="E68">
        <v>60.99</v>
      </c>
      <c r="F68">
        <v>86.72</v>
      </c>
      <c r="G68">
        <v>82.4</v>
      </c>
      <c r="H68">
        <v>100.79</v>
      </c>
      <c r="I68">
        <v>30.33</v>
      </c>
      <c r="J68">
        <v>89.52</v>
      </c>
      <c r="K68">
        <v>97.74</v>
      </c>
      <c r="L68">
        <v>84.25</v>
      </c>
      <c r="M68">
        <v>59.84</v>
      </c>
      <c r="N68">
        <v>75.72</v>
      </c>
      <c r="O68">
        <v>100.47</v>
      </c>
      <c r="P68">
        <v>63.16</v>
      </c>
      <c r="Q68">
        <v>67.55</v>
      </c>
      <c r="R68">
        <v>98.22</v>
      </c>
      <c r="S68">
        <v>86.41</v>
      </c>
      <c r="T68">
        <v>64.180000000000007</v>
      </c>
      <c r="U68">
        <v>99.83</v>
      </c>
      <c r="V68">
        <v>80.260000000000005</v>
      </c>
      <c r="W68">
        <v>96.78</v>
      </c>
      <c r="X68">
        <v>99.83</v>
      </c>
      <c r="Y68">
        <v>88.12</v>
      </c>
      <c r="Z68">
        <v>99.67</v>
      </c>
      <c r="AB68">
        <v>23</v>
      </c>
      <c r="AC68">
        <v>965</v>
      </c>
      <c r="AD68">
        <v>39</v>
      </c>
      <c r="AE68">
        <v>22.74</v>
      </c>
    </row>
    <row r="69" spans="1:31" x14ac:dyDescent="0.25">
      <c r="A69" t="s">
        <v>114</v>
      </c>
      <c r="B69">
        <v>13.82</v>
      </c>
      <c r="C69">
        <v>100.15</v>
      </c>
      <c r="D69">
        <v>98.38</v>
      </c>
      <c r="E69">
        <v>60.42</v>
      </c>
      <c r="F69">
        <v>86.41</v>
      </c>
      <c r="G69">
        <v>82.1</v>
      </c>
      <c r="H69">
        <v>100.95</v>
      </c>
      <c r="I69">
        <v>29.93</v>
      </c>
      <c r="J69">
        <v>89.83</v>
      </c>
      <c r="K69">
        <v>97.42</v>
      </c>
      <c r="L69">
        <v>84.25</v>
      </c>
      <c r="M69">
        <v>59.55</v>
      </c>
      <c r="N69">
        <v>75.27</v>
      </c>
      <c r="O69">
        <v>100.15</v>
      </c>
      <c r="P69">
        <v>63.31</v>
      </c>
      <c r="Q69">
        <v>67.25</v>
      </c>
      <c r="R69">
        <v>97.9</v>
      </c>
      <c r="S69">
        <v>86.25</v>
      </c>
      <c r="T69">
        <v>63.75</v>
      </c>
      <c r="U69">
        <v>99.51</v>
      </c>
      <c r="V69">
        <v>80.260000000000005</v>
      </c>
      <c r="W69">
        <v>96.47</v>
      </c>
      <c r="X69">
        <v>99.67</v>
      </c>
      <c r="Y69">
        <v>88.12</v>
      </c>
      <c r="Z69">
        <v>99.67</v>
      </c>
      <c r="AB69">
        <v>23</v>
      </c>
      <c r="AC69">
        <v>965</v>
      </c>
      <c r="AD69">
        <v>39</v>
      </c>
      <c r="AE69">
        <v>22.74</v>
      </c>
    </row>
    <row r="70" spans="1:31" x14ac:dyDescent="0.25">
      <c r="A70" t="s">
        <v>115</v>
      </c>
      <c r="B70">
        <v>14.07</v>
      </c>
      <c r="C70">
        <v>99.99</v>
      </c>
      <c r="D70">
        <v>98.54</v>
      </c>
      <c r="E70">
        <v>60.27</v>
      </c>
      <c r="F70">
        <v>86.25</v>
      </c>
      <c r="G70">
        <v>82.1</v>
      </c>
      <c r="H70">
        <v>100.79</v>
      </c>
      <c r="I70">
        <v>29.67</v>
      </c>
      <c r="J70">
        <v>89.83</v>
      </c>
      <c r="K70">
        <v>97.42</v>
      </c>
      <c r="L70">
        <v>83.94</v>
      </c>
      <c r="M70">
        <v>59.27</v>
      </c>
      <c r="N70">
        <v>75.42</v>
      </c>
      <c r="O70">
        <v>100.31</v>
      </c>
      <c r="P70">
        <v>63.16</v>
      </c>
      <c r="Q70">
        <v>66.81</v>
      </c>
      <c r="R70">
        <v>97.74</v>
      </c>
      <c r="S70">
        <v>86.72</v>
      </c>
      <c r="T70">
        <v>63.6</v>
      </c>
      <c r="U70">
        <v>99.99</v>
      </c>
      <c r="V70">
        <v>80.11</v>
      </c>
      <c r="W70">
        <v>97.1</v>
      </c>
      <c r="X70">
        <v>99.67</v>
      </c>
      <c r="Y70">
        <v>88.12</v>
      </c>
      <c r="Z70">
        <v>99.67</v>
      </c>
      <c r="AB70">
        <v>23</v>
      </c>
      <c r="AC70">
        <v>965</v>
      </c>
      <c r="AD70">
        <v>39</v>
      </c>
      <c r="AE70">
        <v>22.74</v>
      </c>
    </row>
    <row r="71" spans="1:31" x14ac:dyDescent="0.25">
      <c r="A71" t="s">
        <v>116</v>
      </c>
      <c r="B71">
        <v>14.32</v>
      </c>
      <c r="C71">
        <v>99.99</v>
      </c>
      <c r="D71">
        <v>98.38</v>
      </c>
      <c r="E71">
        <v>59.98</v>
      </c>
      <c r="F71">
        <v>86.1</v>
      </c>
      <c r="G71">
        <v>81.790000000000006</v>
      </c>
      <c r="H71">
        <v>101.12</v>
      </c>
      <c r="I71">
        <v>29.01</v>
      </c>
      <c r="J71">
        <v>89.68</v>
      </c>
      <c r="K71">
        <v>97.42</v>
      </c>
      <c r="L71">
        <v>84.25</v>
      </c>
      <c r="M71">
        <v>58.84</v>
      </c>
      <c r="N71">
        <v>75.27</v>
      </c>
      <c r="O71">
        <v>100.15</v>
      </c>
      <c r="P71">
        <v>63.45</v>
      </c>
      <c r="Q71">
        <v>66.81</v>
      </c>
      <c r="R71">
        <v>97.74</v>
      </c>
      <c r="S71">
        <v>86.1</v>
      </c>
      <c r="T71">
        <v>63.45</v>
      </c>
      <c r="U71">
        <v>99.83</v>
      </c>
      <c r="V71">
        <v>80.11</v>
      </c>
      <c r="W71">
        <v>97.26</v>
      </c>
      <c r="X71">
        <v>99.83</v>
      </c>
      <c r="Y71">
        <v>88.27</v>
      </c>
      <c r="Z71">
        <v>99.99</v>
      </c>
      <c r="AB71">
        <v>23</v>
      </c>
      <c r="AC71">
        <v>965</v>
      </c>
      <c r="AD71">
        <v>39</v>
      </c>
      <c r="AE71">
        <v>22.74</v>
      </c>
    </row>
    <row r="72" spans="1:31" x14ac:dyDescent="0.25">
      <c r="A72" t="s">
        <v>117</v>
      </c>
      <c r="B72">
        <v>14.57</v>
      </c>
      <c r="C72">
        <v>99.99</v>
      </c>
      <c r="D72">
        <v>98.38</v>
      </c>
      <c r="E72">
        <v>59.84</v>
      </c>
      <c r="F72">
        <v>85.79</v>
      </c>
      <c r="G72">
        <v>82.1</v>
      </c>
      <c r="H72">
        <v>100.79</v>
      </c>
      <c r="I72">
        <v>29.27</v>
      </c>
      <c r="J72">
        <v>89.99</v>
      </c>
      <c r="K72">
        <v>97.42</v>
      </c>
      <c r="L72">
        <v>83.94</v>
      </c>
      <c r="M72">
        <v>58.84</v>
      </c>
      <c r="N72">
        <v>74.819999999999993</v>
      </c>
      <c r="O72">
        <v>100.15</v>
      </c>
      <c r="P72">
        <v>63.16</v>
      </c>
      <c r="Q72">
        <v>66.37</v>
      </c>
      <c r="R72">
        <v>97.9</v>
      </c>
      <c r="S72">
        <v>85.79</v>
      </c>
      <c r="T72">
        <v>63.31</v>
      </c>
      <c r="U72">
        <v>99.83</v>
      </c>
      <c r="V72">
        <v>79.959999999999994</v>
      </c>
      <c r="W72">
        <v>96.78</v>
      </c>
      <c r="X72">
        <v>99.34</v>
      </c>
      <c r="Y72">
        <v>88.12</v>
      </c>
      <c r="Z72">
        <v>99.67</v>
      </c>
      <c r="AB72">
        <v>23</v>
      </c>
      <c r="AC72">
        <v>965</v>
      </c>
      <c r="AD72">
        <v>39</v>
      </c>
      <c r="AE72">
        <v>22.75</v>
      </c>
    </row>
    <row r="73" spans="1:31" x14ac:dyDescent="0.25">
      <c r="A73" t="s">
        <v>118</v>
      </c>
      <c r="B73">
        <v>14.82</v>
      </c>
      <c r="C73">
        <v>99.99</v>
      </c>
      <c r="D73">
        <v>98.38</v>
      </c>
      <c r="E73">
        <v>59.41</v>
      </c>
      <c r="F73">
        <v>85.63</v>
      </c>
      <c r="G73">
        <v>82.1</v>
      </c>
      <c r="H73">
        <v>100.79</v>
      </c>
      <c r="I73">
        <v>28.75</v>
      </c>
      <c r="J73">
        <v>89.37</v>
      </c>
      <c r="K73">
        <v>97.58</v>
      </c>
      <c r="L73">
        <v>83.94</v>
      </c>
      <c r="M73">
        <v>58.55</v>
      </c>
      <c r="N73">
        <v>74.819999999999993</v>
      </c>
      <c r="O73">
        <v>100.63</v>
      </c>
      <c r="P73">
        <v>63.31</v>
      </c>
      <c r="Q73">
        <v>66.08</v>
      </c>
      <c r="R73">
        <v>97.42</v>
      </c>
      <c r="S73">
        <v>86.56</v>
      </c>
      <c r="T73">
        <v>63.31</v>
      </c>
      <c r="U73">
        <v>99.99</v>
      </c>
      <c r="V73">
        <v>79.959999999999994</v>
      </c>
      <c r="W73">
        <v>96.62</v>
      </c>
      <c r="X73">
        <v>99.51</v>
      </c>
      <c r="Y73">
        <v>87.96</v>
      </c>
      <c r="Z73">
        <v>99.51</v>
      </c>
      <c r="AB73">
        <v>23</v>
      </c>
      <c r="AC73">
        <v>965</v>
      </c>
      <c r="AD73">
        <v>39</v>
      </c>
      <c r="AE73">
        <v>22.75</v>
      </c>
    </row>
    <row r="74" spans="1:31" x14ac:dyDescent="0.25">
      <c r="A74" t="s">
        <v>119</v>
      </c>
      <c r="B74">
        <v>15.07</v>
      </c>
      <c r="C74">
        <v>99.99</v>
      </c>
      <c r="D74">
        <v>98.54</v>
      </c>
      <c r="E74">
        <v>58.98</v>
      </c>
      <c r="F74">
        <v>85.63</v>
      </c>
      <c r="G74">
        <v>81.48</v>
      </c>
      <c r="H74">
        <v>100.95</v>
      </c>
      <c r="I74">
        <v>28.48</v>
      </c>
      <c r="J74">
        <v>89.99</v>
      </c>
      <c r="K74">
        <v>97.58</v>
      </c>
      <c r="L74">
        <v>83.94</v>
      </c>
      <c r="M74">
        <v>58.12</v>
      </c>
      <c r="N74">
        <v>74.52</v>
      </c>
      <c r="O74">
        <v>100.31</v>
      </c>
      <c r="P74">
        <v>63.6</v>
      </c>
      <c r="Q74">
        <v>66.08</v>
      </c>
      <c r="R74">
        <v>97.58</v>
      </c>
      <c r="S74">
        <v>86.41</v>
      </c>
      <c r="T74">
        <v>62.87</v>
      </c>
      <c r="U74">
        <v>99.83</v>
      </c>
      <c r="V74">
        <v>79.81</v>
      </c>
      <c r="W74">
        <v>97.1</v>
      </c>
      <c r="X74">
        <v>99.67</v>
      </c>
      <c r="Y74">
        <v>87.96</v>
      </c>
      <c r="Z74">
        <v>99.83</v>
      </c>
      <c r="AB74">
        <v>23</v>
      </c>
      <c r="AC74">
        <v>965</v>
      </c>
      <c r="AD74">
        <v>39</v>
      </c>
      <c r="AE74">
        <v>22.74</v>
      </c>
    </row>
    <row r="75" spans="1:31" x14ac:dyDescent="0.25">
      <c r="A75" t="s">
        <v>120</v>
      </c>
      <c r="B75">
        <v>15.32</v>
      </c>
      <c r="C75">
        <v>100.15</v>
      </c>
      <c r="D75">
        <v>98.7</v>
      </c>
      <c r="E75">
        <v>58.98</v>
      </c>
      <c r="F75">
        <v>85.79</v>
      </c>
      <c r="G75">
        <v>81.64</v>
      </c>
      <c r="H75">
        <v>100.63</v>
      </c>
      <c r="I75">
        <v>28.61</v>
      </c>
      <c r="J75">
        <v>89.68</v>
      </c>
      <c r="K75">
        <v>97.74</v>
      </c>
      <c r="L75">
        <v>84.09</v>
      </c>
      <c r="M75">
        <v>58.12</v>
      </c>
      <c r="N75">
        <v>74.52</v>
      </c>
      <c r="O75">
        <v>100.63</v>
      </c>
      <c r="P75">
        <v>63.89</v>
      </c>
      <c r="Q75">
        <v>65.790000000000006</v>
      </c>
      <c r="R75">
        <v>97.74</v>
      </c>
      <c r="S75">
        <v>86.56</v>
      </c>
      <c r="T75">
        <v>62.58</v>
      </c>
      <c r="U75">
        <v>100.47</v>
      </c>
      <c r="V75">
        <v>79.81</v>
      </c>
      <c r="W75">
        <v>97.26</v>
      </c>
      <c r="X75">
        <v>99.83</v>
      </c>
      <c r="Y75">
        <v>87.81</v>
      </c>
      <c r="Z75">
        <v>99.83</v>
      </c>
      <c r="AB75">
        <v>23</v>
      </c>
      <c r="AC75">
        <v>965</v>
      </c>
      <c r="AD75">
        <v>39</v>
      </c>
      <c r="AE75">
        <v>22.74</v>
      </c>
    </row>
    <row r="76" spans="1:31" x14ac:dyDescent="0.25">
      <c r="A76" t="s">
        <v>121</v>
      </c>
      <c r="B76">
        <v>15.57</v>
      </c>
      <c r="C76">
        <v>99.99</v>
      </c>
      <c r="D76">
        <v>98.54</v>
      </c>
      <c r="E76">
        <v>58.69</v>
      </c>
      <c r="F76">
        <v>85.63</v>
      </c>
      <c r="G76">
        <v>81.64</v>
      </c>
      <c r="H76">
        <v>100.63</v>
      </c>
      <c r="I76">
        <v>28.22</v>
      </c>
      <c r="J76">
        <v>89.68</v>
      </c>
      <c r="K76">
        <v>97.58</v>
      </c>
      <c r="L76">
        <v>83.78</v>
      </c>
      <c r="M76">
        <v>57.83</v>
      </c>
      <c r="N76">
        <v>74.22</v>
      </c>
      <c r="O76">
        <v>100.31</v>
      </c>
      <c r="P76">
        <v>64.040000000000006</v>
      </c>
      <c r="Q76">
        <v>65.349999999999994</v>
      </c>
      <c r="R76">
        <v>97.74</v>
      </c>
      <c r="S76">
        <v>86.72</v>
      </c>
      <c r="T76">
        <v>62.73</v>
      </c>
      <c r="U76">
        <v>99.99</v>
      </c>
      <c r="V76">
        <v>79.66</v>
      </c>
      <c r="W76">
        <v>97.26</v>
      </c>
      <c r="X76">
        <v>99.67</v>
      </c>
      <c r="Y76">
        <v>87.96</v>
      </c>
      <c r="Z76">
        <v>99.83</v>
      </c>
      <c r="AB76">
        <v>23</v>
      </c>
      <c r="AC76">
        <v>965</v>
      </c>
      <c r="AD76">
        <v>39</v>
      </c>
      <c r="AE76">
        <v>22.75</v>
      </c>
    </row>
    <row r="77" spans="1:31" x14ac:dyDescent="0.25">
      <c r="A77" t="s">
        <v>122</v>
      </c>
      <c r="B77">
        <v>15.82</v>
      </c>
      <c r="C77">
        <v>100.15</v>
      </c>
      <c r="D77">
        <v>98.54</v>
      </c>
      <c r="E77">
        <v>58.69</v>
      </c>
      <c r="F77">
        <v>85.33</v>
      </c>
      <c r="G77">
        <v>81.48</v>
      </c>
      <c r="H77">
        <v>100.79</v>
      </c>
      <c r="I77">
        <v>28.09</v>
      </c>
      <c r="J77">
        <v>89.68</v>
      </c>
      <c r="K77">
        <v>97.58</v>
      </c>
      <c r="L77">
        <v>84.09</v>
      </c>
      <c r="M77">
        <v>57.69</v>
      </c>
      <c r="N77">
        <v>73.92</v>
      </c>
      <c r="O77">
        <v>100.63</v>
      </c>
      <c r="P77">
        <v>63.89</v>
      </c>
      <c r="Q77">
        <v>65.2</v>
      </c>
      <c r="R77">
        <v>97.58</v>
      </c>
      <c r="S77">
        <v>86.72</v>
      </c>
      <c r="T77">
        <v>62.58</v>
      </c>
      <c r="U77">
        <v>100.15</v>
      </c>
      <c r="V77">
        <v>79.66</v>
      </c>
      <c r="W77">
        <v>96.94</v>
      </c>
      <c r="X77">
        <v>99.67</v>
      </c>
      <c r="Y77">
        <v>88.12</v>
      </c>
      <c r="Z77">
        <v>99.99</v>
      </c>
      <c r="AB77">
        <v>23</v>
      </c>
      <c r="AC77">
        <v>965</v>
      </c>
      <c r="AD77">
        <v>39</v>
      </c>
      <c r="AE77">
        <v>22.77</v>
      </c>
    </row>
    <row r="78" spans="1:31" x14ac:dyDescent="0.25">
      <c r="A78" t="s">
        <v>123</v>
      </c>
      <c r="B78">
        <v>16.079999999999998</v>
      </c>
      <c r="C78">
        <v>99.83</v>
      </c>
      <c r="D78">
        <v>98.06</v>
      </c>
      <c r="E78">
        <v>58.41</v>
      </c>
      <c r="F78">
        <v>85.02</v>
      </c>
      <c r="G78">
        <v>81.33</v>
      </c>
      <c r="H78">
        <v>100.79</v>
      </c>
      <c r="I78">
        <v>27.83</v>
      </c>
      <c r="J78">
        <v>89.68</v>
      </c>
      <c r="K78">
        <v>97.58</v>
      </c>
      <c r="L78">
        <v>83.78</v>
      </c>
      <c r="M78">
        <v>57.12</v>
      </c>
      <c r="N78">
        <v>73.33</v>
      </c>
      <c r="O78">
        <v>100.47</v>
      </c>
      <c r="P78">
        <v>64.040000000000006</v>
      </c>
      <c r="Q78">
        <v>64.760000000000005</v>
      </c>
      <c r="R78">
        <v>97.74</v>
      </c>
      <c r="S78">
        <v>86.56</v>
      </c>
      <c r="T78">
        <v>62.15</v>
      </c>
      <c r="U78">
        <v>100.15</v>
      </c>
      <c r="V78">
        <v>79.66</v>
      </c>
      <c r="W78">
        <v>97.1</v>
      </c>
      <c r="X78">
        <v>99.51</v>
      </c>
      <c r="Y78">
        <v>87.81</v>
      </c>
      <c r="Z78">
        <v>99.99</v>
      </c>
      <c r="AB78">
        <v>23</v>
      </c>
      <c r="AC78">
        <v>965</v>
      </c>
      <c r="AD78">
        <v>39</v>
      </c>
      <c r="AE78">
        <v>22.75</v>
      </c>
    </row>
    <row r="79" spans="1:31" x14ac:dyDescent="0.25">
      <c r="A79" t="s">
        <v>124</v>
      </c>
      <c r="B79">
        <v>16.329999999999998</v>
      </c>
      <c r="C79">
        <v>100.15</v>
      </c>
      <c r="D79">
        <v>98.22</v>
      </c>
      <c r="E79">
        <v>57.98</v>
      </c>
      <c r="F79">
        <v>84.71</v>
      </c>
      <c r="G79">
        <v>81.03</v>
      </c>
      <c r="H79">
        <v>100.79</v>
      </c>
      <c r="I79">
        <v>27.43</v>
      </c>
      <c r="J79">
        <v>89.68</v>
      </c>
      <c r="K79">
        <v>97.74</v>
      </c>
      <c r="L79">
        <v>84.25</v>
      </c>
      <c r="M79">
        <v>56.98</v>
      </c>
      <c r="N79">
        <v>73.180000000000007</v>
      </c>
      <c r="O79">
        <v>100.31</v>
      </c>
      <c r="P79">
        <v>64.33</v>
      </c>
      <c r="Q79">
        <v>64.180000000000007</v>
      </c>
      <c r="R79">
        <v>97.74</v>
      </c>
      <c r="S79">
        <v>87.03</v>
      </c>
      <c r="T79">
        <v>61.86</v>
      </c>
      <c r="U79">
        <v>99.99</v>
      </c>
      <c r="V79">
        <v>79.81</v>
      </c>
      <c r="W79">
        <v>96.78</v>
      </c>
      <c r="X79">
        <v>99.67</v>
      </c>
      <c r="Y79">
        <v>87.96</v>
      </c>
      <c r="Z79">
        <v>99.99</v>
      </c>
      <c r="AB79">
        <v>23</v>
      </c>
      <c r="AC79">
        <v>965</v>
      </c>
      <c r="AD79">
        <v>39</v>
      </c>
      <c r="AE79">
        <v>22.75</v>
      </c>
    </row>
    <row r="80" spans="1:31" x14ac:dyDescent="0.25">
      <c r="A80" t="s">
        <v>125</v>
      </c>
      <c r="B80">
        <v>16.579999999999998</v>
      </c>
      <c r="C80">
        <v>99.83</v>
      </c>
      <c r="D80">
        <v>98.38</v>
      </c>
      <c r="E80">
        <v>57.98</v>
      </c>
      <c r="F80">
        <v>84.86</v>
      </c>
      <c r="G80">
        <v>81.03</v>
      </c>
      <c r="H80">
        <v>100.47</v>
      </c>
      <c r="I80">
        <v>27.43</v>
      </c>
      <c r="J80">
        <v>89.52</v>
      </c>
      <c r="K80">
        <v>97.42</v>
      </c>
      <c r="L80">
        <v>83.78</v>
      </c>
      <c r="M80">
        <v>56.69</v>
      </c>
      <c r="N80">
        <v>73.03</v>
      </c>
      <c r="O80">
        <v>100.47</v>
      </c>
      <c r="P80">
        <v>64.47</v>
      </c>
      <c r="Q80">
        <v>63.75</v>
      </c>
      <c r="R80">
        <v>97.74</v>
      </c>
      <c r="S80">
        <v>86.56</v>
      </c>
      <c r="T80">
        <v>61.86</v>
      </c>
      <c r="U80">
        <v>99.83</v>
      </c>
      <c r="V80">
        <v>79.66</v>
      </c>
      <c r="W80">
        <v>97.26</v>
      </c>
      <c r="X80">
        <v>99.67</v>
      </c>
      <c r="Y80">
        <v>87.65</v>
      </c>
      <c r="Z80">
        <v>99.83</v>
      </c>
      <c r="AB80">
        <v>23</v>
      </c>
      <c r="AC80">
        <v>965</v>
      </c>
      <c r="AD80">
        <v>39</v>
      </c>
      <c r="AE80">
        <v>22.75</v>
      </c>
    </row>
    <row r="82" spans="2:29" ht="15.75" thickBot="1" x14ac:dyDescent="0.3"/>
    <row r="83" spans="2:29" ht="39.75" thickBot="1" x14ac:dyDescent="0.3">
      <c r="C83" s="4" t="s">
        <v>131</v>
      </c>
      <c r="D83" s="2" t="s">
        <v>132</v>
      </c>
      <c r="E83" s="5" t="s">
        <v>133</v>
      </c>
      <c r="F83" s="3" t="s">
        <v>134</v>
      </c>
      <c r="G83" s="4" t="s">
        <v>135</v>
      </c>
      <c r="H83" s="2" t="s">
        <v>136</v>
      </c>
      <c r="I83" s="5" t="s">
        <v>137</v>
      </c>
      <c r="J83" s="6" t="s">
        <v>138</v>
      </c>
      <c r="K83" s="3" t="s">
        <v>126</v>
      </c>
      <c r="L83" s="2" t="s">
        <v>139</v>
      </c>
      <c r="M83" s="5" t="s">
        <v>140</v>
      </c>
      <c r="N83" s="1" t="s">
        <v>141</v>
      </c>
      <c r="O83" s="4" t="s">
        <v>142</v>
      </c>
      <c r="P83" s="2" t="s">
        <v>143</v>
      </c>
      <c r="Q83" s="6" t="s">
        <v>144</v>
      </c>
      <c r="R83" s="1" t="s">
        <v>145</v>
      </c>
      <c r="S83" s="4" t="s">
        <v>146</v>
      </c>
      <c r="T83" s="5" t="s">
        <v>147</v>
      </c>
      <c r="U83" s="3" t="s">
        <v>126</v>
      </c>
      <c r="V83" s="1" t="s">
        <v>148</v>
      </c>
      <c r="W83" s="3" t="s">
        <v>126</v>
      </c>
      <c r="X83" s="3" t="s">
        <v>126</v>
      </c>
      <c r="Y83" s="6" t="s">
        <v>149</v>
      </c>
      <c r="Z83" s="3" t="s">
        <v>126</v>
      </c>
      <c r="AC83" t="s">
        <v>127</v>
      </c>
    </row>
    <row r="84" spans="2:29" x14ac:dyDescent="0.25">
      <c r="B84" t="s">
        <v>128</v>
      </c>
      <c r="C84">
        <f>SLOPE(C14:C80,$B$14:$B$80)</f>
        <v>4.8342533653176626E-3</v>
      </c>
      <c r="D84">
        <f t="shared" ref="D84:Z84" si="0">SLOPE(D14:D80,$B$14:$B$80)</f>
        <v>-6.7863961700940553E-3</v>
      </c>
      <c r="E84">
        <f t="shared" si="0"/>
        <v>-1.2935256832779676</v>
      </c>
      <c r="F84">
        <f t="shared" si="0"/>
        <v>-0.3598359416698711</v>
      </c>
      <c r="G84">
        <f t="shared" si="0"/>
        <v>-0.39741025266493618</v>
      </c>
      <c r="H84">
        <f t="shared" si="0"/>
        <v>2.9061445013868264E-3</v>
      </c>
      <c r="I84">
        <f t="shared" si="0"/>
        <v>-2.0789025716392477</v>
      </c>
      <c r="J84">
        <f t="shared" si="0"/>
        <v>4.9691779412007656E-2</v>
      </c>
      <c r="K84">
        <f t="shared" si="0"/>
        <v>4.1663149464167853E-2</v>
      </c>
      <c r="L84">
        <f t="shared" si="0"/>
        <v>-0.17432236944482887</v>
      </c>
      <c r="M84">
        <f t="shared" si="0"/>
        <v>-0.9902791512348964</v>
      </c>
      <c r="N84">
        <f t="shared" si="0"/>
        <v>-0.62773347057597195</v>
      </c>
      <c r="O84">
        <f t="shared" si="0"/>
        <v>1.7699224033387733E-2</v>
      </c>
      <c r="P84">
        <f t="shared" si="0"/>
        <v>-0.93584460029080729</v>
      </c>
      <c r="Q84">
        <f t="shared" si="0"/>
        <v>-0.99466959638861863</v>
      </c>
      <c r="R84">
        <f t="shared" si="0"/>
        <v>-0.17490656174507133</v>
      </c>
      <c r="S84">
        <f t="shared" si="0"/>
        <v>-0.28684430265331706</v>
      </c>
      <c r="T84">
        <f t="shared" si="0"/>
        <v>-0.95034799398042447</v>
      </c>
      <c r="U84">
        <f t="shared" si="0"/>
        <v>9.5148683171222513E-3</v>
      </c>
      <c r="V84">
        <f t="shared" si="0"/>
        <v>-0.27246006529689409</v>
      </c>
      <c r="W84">
        <f t="shared" si="0"/>
        <v>2.0582336600053257E-2</v>
      </c>
      <c r="X84">
        <f t="shared" si="0"/>
        <v>3.9935863273783047E-2</v>
      </c>
      <c r="Y84">
        <f t="shared" si="0"/>
        <v>-0.15350698213115277</v>
      </c>
      <c r="Z84">
        <f t="shared" si="0"/>
        <v>-1.528444420439236E-2</v>
      </c>
      <c r="AC84">
        <f>AVERAGE(U84)</f>
        <v>9.5148683171222513E-3</v>
      </c>
    </row>
    <row r="85" spans="2:29" x14ac:dyDescent="0.25">
      <c r="B85" t="s">
        <v>129</v>
      </c>
      <c r="C85">
        <f>C84*-1</f>
        <v>-4.8342533653176626E-3</v>
      </c>
      <c r="D85">
        <f t="shared" ref="D85:Z85" si="1">D84*-1</f>
        <v>6.7863961700940553E-3</v>
      </c>
      <c r="E85">
        <f t="shared" si="1"/>
        <v>1.2935256832779676</v>
      </c>
      <c r="F85">
        <f t="shared" si="1"/>
        <v>0.3598359416698711</v>
      </c>
      <c r="G85">
        <f t="shared" si="1"/>
        <v>0.39741025266493618</v>
      </c>
      <c r="H85">
        <f t="shared" si="1"/>
        <v>-2.9061445013868264E-3</v>
      </c>
      <c r="I85">
        <f t="shared" si="1"/>
        <v>2.0789025716392477</v>
      </c>
      <c r="J85">
        <f t="shared" si="1"/>
        <v>-4.9691779412007656E-2</v>
      </c>
      <c r="K85">
        <f t="shared" si="1"/>
        <v>-4.1663149464167853E-2</v>
      </c>
      <c r="L85">
        <f t="shared" si="1"/>
        <v>0.17432236944482887</v>
      </c>
      <c r="M85">
        <f t="shared" si="1"/>
        <v>0.9902791512348964</v>
      </c>
      <c r="N85">
        <f t="shared" si="1"/>
        <v>0.62773347057597195</v>
      </c>
      <c r="O85">
        <f t="shared" si="1"/>
        <v>-1.7699224033387733E-2</v>
      </c>
      <c r="P85">
        <f t="shared" si="1"/>
        <v>0.93584460029080729</v>
      </c>
      <c r="Q85">
        <f t="shared" si="1"/>
        <v>0.99466959638861863</v>
      </c>
      <c r="R85">
        <f t="shared" si="1"/>
        <v>0.17490656174507133</v>
      </c>
      <c r="S85">
        <f t="shared" si="1"/>
        <v>0.28684430265331706</v>
      </c>
      <c r="T85">
        <f t="shared" si="1"/>
        <v>0.95034799398042447</v>
      </c>
      <c r="U85">
        <f t="shared" si="1"/>
        <v>-9.5148683171222513E-3</v>
      </c>
      <c r="V85">
        <f t="shared" si="1"/>
        <v>0.27246006529689409</v>
      </c>
      <c r="W85">
        <f t="shared" si="1"/>
        <v>-2.0582336600053257E-2</v>
      </c>
      <c r="X85">
        <f t="shared" si="1"/>
        <v>-3.9935863273783047E-2</v>
      </c>
      <c r="Y85">
        <f t="shared" si="1"/>
        <v>0.15350698213115277</v>
      </c>
      <c r="Z85">
        <f t="shared" si="1"/>
        <v>1.528444420439236E-2</v>
      </c>
    </row>
    <row r="86" spans="2:29" x14ac:dyDescent="0.25">
      <c r="B86" t="s">
        <v>130</v>
      </c>
      <c r="C86">
        <f>C85-$AC$84</f>
        <v>-1.4349121682439913E-2</v>
      </c>
      <c r="D86">
        <f t="shared" ref="D86:Z86" si="2">D85-$AC$84</f>
        <v>-2.7284721470281961E-3</v>
      </c>
      <c r="E86">
        <f t="shared" si="2"/>
        <v>1.2840108149608453</v>
      </c>
      <c r="F86">
        <f t="shared" si="2"/>
        <v>0.35032107335274887</v>
      </c>
      <c r="G86">
        <f t="shared" si="2"/>
        <v>0.38789538434781395</v>
      </c>
      <c r="H86">
        <f t="shared" si="2"/>
        <v>-1.2421012818509079E-2</v>
      </c>
      <c r="I86">
        <f t="shared" si="2"/>
        <v>2.0693877033221253</v>
      </c>
      <c r="J86">
        <f t="shared" si="2"/>
        <v>-5.920664772912991E-2</v>
      </c>
      <c r="K86">
        <f t="shared" si="2"/>
        <v>-5.1178017781290108E-2</v>
      </c>
      <c r="L86">
        <f t="shared" si="2"/>
        <v>0.16480750112770662</v>
      </c>
      <c r="M86">
        <f t="shared" si="2"/>
        <v>0.98076428291777418</v>
      </c>
      <c r="N86">
        <f t="shared" si="2"/>
        <v>0.61821860225884973</v>
      </c>
      <c r="O86">
        <f t="shared" si="2"/>
        <v>-2.7214092350509984E-2</v>
      </c>
      <c r="P86">
        <f t="shared" si="2"/>
        <v>0.92632973197368507</v>
      </c>
      <c r="Q86">
        <f t="shared" si="2"/>
        <v>0.9851547280714964</v>
      </c>
      <c r="R86">
        <f t="shared" si="2"/>
        <v>0.16539169342794907</v>
      </c>
      <c r="S86">
        <f t="shared" si="2"/>
        <v>0.27732943433619484</v>
      </c>
      <c r="T86">
        <f t="shared" si="2"/>
        <v>0.94083312566330224</v>
      </c>
      <c r="U86">
        <f t="shared" si="2"/>
        <v>-1.9029736634244503E-2</v>
      </c>
      <c r="V86">
        <f t="shared" si="2"/>
        <v>0.26294519697977187</v>
      </c>
      <c r="W86">
        <f t="shared" si="2"/>
        <v>-3.0097204917175508E-2</v>
      </c>
      <c r="X86">
        <f t="shared" si="2"/>
        <v>-4.9450731590905295E-2</v>
      </c>
      <c r="Y86">
        <f t="shared" si="2"/>
        <v>0.14399211381403051</v>
      </c>
      <c r="Z86">
        <f t="shared" si="2"/>
        <v>5.7695758872701088E-3</v>
      </c>
    </row>
    <row r="88" spans="2:29" x14ac:dyDescent="0.25">
      <c r="C88">
        <v>-1.4349121682439913E-2</v>
      </c>
      <c r="D88">
        <v>-2.7284721470281961E-3</v>
      </c>
      <c r="E88">
        <v>1.2840108149608453</v>
      </c>
      <c r="F88">
        <v>0.35032107335274887</v>
      </c>
      <c r="G88">
        <v>0.38789538434781395</v>
      </c>
      <c r="H88">
        <v>-1.2421012818509079E-2</v>
      </c>
      <c r="I88">
        <v>2.0693877033221253</v>
      </c>
      <c r="J88">
        <v>-5.920664772912991E-2</v>
      </c>
      <c r="K88">
        <v>-5.1178017781290108E-2</v>
      </c>
      <c r="L88">
        <v>0.16480750112770662</v>
      </c>
      <c r="M88">
        <v>0.98076428291777418</v>
      </c>
      <c r="N88">
        <v>0.61821860225884973</v>
      </c>
      <c r="O88">
        <v>-2.7214092350509984E-2</v>
      </c>
      <c r="P88">
        <v>0.92632973197368507</v>
      </c>
      <c r="Q88">
        <v>0.9851547280714964</v>
      </c>
      <c r="R88">
        <v>0.16539169342794907</v>
      </c>
      <c r="S88">
        <v>0.27732943433619484</v>
      </c>
      <c r="T88">
        <v>0.94083312566330224</v>
      </c>
      <c r="U88">
        <v>-1.9029736634244503E-2</v>
      </c>
      <c r="V88">
        <v>0.26294519697977187</v>
      </c>
      <c r="W88">
        <v>-3.0097204917175508E-2</v>
      </c>
      <c r="X88">
        <v>-4.9450731590905295E-2</v>
      </c>
      <c r="Y88">
        <v>0.14399211381403051</v>
      </c>
      <c r="Z88">
        <v>5.7695758872701088E-3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59D67-E3AE-45AB-886E-66C00D908307}">
  <sheetPr codeName="Sheet2"/>
  <dimension ref="A1:AF166"/>
  <sheetViews>
    <sheetView tabSelected="1" zoomScale="85" zoomScaleNormal="85" workbookViewId="0">
      <pane ySplit="13" topLeftCell="A143" activePane="bottomLeft" state="frozen"/>
      <selection activeCell="A13" sqref="A13"/>
      <selection pane="bottomLeft" activeCell="AC162" sqref="AC162"/>
    </sheetView>
  </sheetViews>
  <sheetFormatPr defaultRowHeight="15" x14ac:dyDescent="0.25"/>
  <cols>
    <col min="8" max="8" width="16" customWidth="1"/>
    <col min="30" max="30" width="16.5703125" customWidth="1"/>
    <col min="31" max="31" width="17.42578125" customWidth="1"/>
  </cols>
  <sheetData>
    <row r="1" spans="1:32" hidden="1" x14ac:dyDescent="0.2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t="s">
        <v>14</v>
      </c>
      <c r="N1" t="s">
        <v>15</v>
      </c>
      <c r="O1" t="s">
        <v>16</v>
      </c>
    </row>
    <row r="2" spans="1:32" hidden="1" x14ac:dyDescent="0.25">
      <c r="A2" t="s">
        <v>4</v>
      </c>
      <c r="B2" t="s">
        <v>5</v>
      </c>
      <c r="H2" t="s">
        <v>19</v>
      </c>
      <c r="I2" t="s">
        <v>20</v>
      </c>
    </row>
    <row r="3" spans="1:32" hidden="1" x14ac:dyDescent="0.25">
      <c r="A3" t="s">
        <v>6</v>
      </c>
      <c r="B3" t="s">
        <v>7</v>
      </c>
      <c r="H3" t="s">
        <v>22</v>
      </c>
      <c r="I3">
        <v>54.76</v>
      </c>
    </row>
    <row r="4" spans="1:32" hidden="1" x14ac:dyDescent="0.25">
      <c r="A4" t="s">
        <v>8</v>
      </c>
      <c r="B4">
        <v>0</v>
      </c>
      <c r="D4" t="s">
        <v>9</v>
      </c>
      <c r="E4" t="s">
        <v>10</v>
      </c>
      <c r="H4" t="s">
        <v>23</v>
      </c>
      <c r="I4">
        <v>47.47</v>
      </c>
    </row>
    <row r="5" spans="1:32" hidden="1" x14ac:dyDescent="0.25">
      <c r="A5" t="s">
        <v>11</v>
      </c>
      <c r="B5" t="s">
        <v>12</v>
      </c>
      <c r="H5" t="s">
        <v>24</v>
      </c>
      <c r="I5">
        <v>24.8</v>
      </c>
    </row>
    <row r="6" spans="1:32" hidden="1" x14ac:dyDescent="0.25">
      <c r="A6" t="s">
        <v>17</v>
      </c>
      <c r="B6" t="s">
        <v>18</v>
      </c>
      <c r="H6" t="s">
        <v>25</v>
      </c>
      <c r="I6">
        <v>24.8</v>
      </c>
    </row>
    <row r="7" spans="1:32" hidden="1" x14ac:dyDescent="0.25">
      <c r="H7" t="s">
        <v>26</v>
      </c>
      <c r="I7">
        <v>965</v>
      </c>
    </row>
    <row r="8" spans="1:32" hidden="1" x14ac:dyDescent="0.25">
      <c r="H8" t="s">
        <v>27</v>
      </c>
      <c r="I8">
        <v>100</v>
      </c>
    </row>
    <row r="9" spans="1:32" hidden="1" x14ac:dyDescent="0.25"/>
    <row r="10" spans="1:32" hidden="1" x14ac:dyDescent="0.25"/>
    <row r="11" spans="1:32" hidden="1" x14ac:dyDescent="0.25"/>
    <row r="12" spans="1:32" ht="15.75" hidden="1" customHeight="1" x14ac:dyDescent="0.25"/>
    <row r="13" spans="1:32" x14ac:dyDescent="0.2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25">
      <c r="A14" t="s">
        <v>59</v>
      </c>
      <c r="B14">
        <v>0.03</v>
      </c>
      <c r="C14">
        <v>99.99</v>
      </c>
      <c r="D14">
        <v>98.54</v>
      </c>
      <c r="E14">
        <v>79.81</v>
      </c>
      <c r="F14">
        <v>92.35</v>
      </c>
      <c r="G14">
        <v>88.12</v>
      </c>
      <c r="H14">
        <v>100.79</v>
      </c>
      <c r="I14">
        <v>59.84</v>
      </c>
      <c r="J14">
        <v>89.68</v>
      </c>
      <c r="K14">
        <v>96.94</v>
      </c>
      <c r="L14">
        <v>86.56</v>
      </c>
      <c r="M14">
        <v>74.52</v>
      </c>
      <c r="N14">
        <v>84.25</v>
      </c>
      <c r="O14">
        <v>99.83</v>
      </c>
      <c r="P14">
        <v>77.680000000000007</v>
      </c>
      <c r="Q14">
        <v>80.87</v>
      </c>
      <c r="R14">
        <v>100.79</v>
      </c>
      <c r="S14">
        <v>91.87</v>
      </c>
      <c r="T14">
        <v>79.2</v>
      </c>
      <c r="U14">
        <v>100.15</v>
      </c>
      <c r="V14">
        <v>83.48</v>
      </c>
      <c r="W14">
        <v>96.62</v>
      </c>
      <c r="X14">
        <v>99.02</v>
      </c>
      <c r="Y14">
        <v>90.3</v>
      </c>
      <c r="Z14">
        <v>100.31</v>
      </c>
      <c r="AB14">
        <v>23</v>
      </c>
      <c r="AC14">
        <v>965</v>
      </c>
      <c r="AD14">
        <v>39</v>
      </c>
      <c r="AE14">
        <v>22.4</v>
      </c>
    </row>
    <row r="15" spans="1:32" x14ac:dyDescent="0.25">
      <c r="A15" t="s">
        <v>60</v>
      </c>
      <c r="B15">
        <v>0.28000000000000003</v>
      </c>
      <c r="C15">
        <v>99.99</v>
      </c>
      <c r="D15">
        <v>98.54</v>
      </c>
      <c r="E15">
        <v>79.05</v>
      </c>
      <c r="F15">
        <v>92.35</v>
      </c>
      <c r="G15">
        <v>87.81</v>
      </c>
      <c r="H15">
        <v>100.63</v>
      </c>
      <c r="I15">
        <v>59.84</v>
      </c>
      <c r="J15">
        <v>89.37</v>
      </c>
      <c r="K15">
        <v>97.1</v>
      </c>
      <c r="L15">
        <v>86.41</v>
      </c>
      <c r="M15">
        <v>73.33</v>
      </c>
      <c r="N15">
        <v>83.78</v>
      </c>
      <c r="O15">
        <v>99.99</v>
      </c>
      <c r="P15">
        <v>77.08</v>
      </c>
      <c r="Q15">
        <v>80.569999999999993</v>
      </c>
      <c r="R15">
        <v>100.47</v>
      </c>
      <c r="S15">
        <v>91.09</v>
      </c>
      <c r="T15">
        <v>78.59</v>
      </c>
      <c r="U15">
        <v>99.83</v>
      </c>
      <c r="V15">
        <v>83.48</v>
      </c>
      <c r="W15">
        <v>96.94</v>
      </c>
      <c r="X15">
        <v>99.18</v>
      </c>
      <c r="Y15">
        <v>90.15</v>
      </c>
      <c r="Z15">
        <v>100.31</v>
      </c>
      <c r="AB15">
        <v>23</v>
      </c>
      <c r="AC15">
        <v>965</v>
      </c>
      <c r="AD15">
        <v>39</v>
      </c>
      <c r="AE15">
        <v>22.42</v>
      </c>
    </row>
    <row r="16" spans="1:32" x14ac:dyDescent="0.25">
      <c r="A16" t="s">
        <v>61</v>
      </c>
      <c r="B16">
        <v>0.53</v>
      </c>
      <c r="C16">
        <v>99.99</v>
      </c>
      <c r="D16">
        <v>98.54</v>
      </c>
      <c r="E16">
        <v>78.44</v>
      </c>
      <c r="F16">
        <v>92.5</v>
      </c>
      <c r="G16">
        <v>87.81</v>
      </c>
      <c r="H16">
        <v>100.47</v>
      </c>
      <c r="I16">
        <v>58.84</v>
      </c>
      <c r="J16">
        <v>89.21</v>
      </c>
      <c r="K16">
        <v>97.1</v>
      </c>
      <c r="L16">
        <v>86.56</v>
      </c>
      <c r="M16">
        <v>73.77</v>
      </c>
      <c r="N16">
        <v>83.48</v>
      </c>
      <c r="O16">
        <v>100.15</v>
      </c>
      <c r="P16">
        <v>76.930000000000007</v>
      </c>
      <c r="Q16">
        <v>80.72</v>
      </c>
      <c r="R16">
        <v>100.31</v>
      </c>
      <c r="S16">
        <v>91.24</v>
      </c>
      <c r="T16">
        <v>78.59</v>
      </c>
      <c r="U16">
        <v>99.99</v>
      </c>
      <c r="V16">
        <v>83.48</v>
      </c>
      <c r="W16">
        <v>97.1</v>
      </c>
      <c r="X16">
        <v>99.02</v>
      </c>
      <c r="Y16">
        <v>90.62</v>
      </c>
      <c r="Z16">
        <v>100.47</v>
      </c>
      <c r="AB16">
        <v>23</v>
      </c>
      <c r="AC16">
        <v>965</v>
      </c>
      <c r="AD16">
        <v>39</v>
      </c>
      <c r="AE16">
        <v>22.43</v>
      </c>
    </row>
    <row r="17" spans="1:31" x14ac:dyDescent="0.25">
      <c r="A17" t="s">
        <v>62</v>
      </c>
      <c r="B17">
        <v>0.78</v>
      </c>
      <c r="C17">
        <v>99.83</v>
      </c>
      <c r="D17">
        <v>98.38</v>
      </c>
      <c r="E17">
        <v>78.290000000000006</v>
      </c>
      <c r="F17">
        <v>91.56</v>
      </c>
      <c r="G17">
        <v>87.65</v>
      </c>
      <c r="H17">
        <v>100.47</v>
      </c>
      <c r="I17">
        <v>58.84</v>
      </c>
      <c r="J17">
        <v>89.37</v>
      </c>
      <c r="K17">
        <v>96.94</v>
      </c>
      <c r="L17">
        <v>86.41</v>
      </c>
      <c r="M17">
        <v>72.430000000000007</v>
      </c>
      <c r="N17">
        <v>83.48</v>
      </c>
      <c r="O17">
        <v>99.99</v>
      </c>
      <c r="P17">
        <v>76.48</v>
      </c>
      <c r="Q17">
        <v>80.42</v>
      </c>
      <c r="R17">
        <v>100.47</v>
      </c>
      <c r="S17">
        <v>90.93</v>
      </c>
      <c r="T17">
        <v>77.53</v>
      </c>
      <c r="U17">
        <v>99.51</v>
      </c>
      <c r="V17">
        <v>83.63</v>
      </c>
      <c r="W17">
        <v>96.31</v>
      </c>
      <c r="X17">
        <v>99.02</v>
      </c>
      <c r="Y17">
        <v>90.3</v>
      </c>
      <c r="Z17">
        <v>99.99</v>
      </c>
      <c r="AB17">
        <v>23</v>
      </c>
      <c r="AC17">
        <v>965</v>
      </c>
      <c r="AD17">
        <v>39</v>
      </c>
      <c r="AE17">
        <v>22.45</v>
      </c>
    </row>
    <row r="18" spans="1:31" x14ac:dyDescent="0.25">
      <c r="A18" t="s">
        <v>63</v>
      </c>
      <c r="B18">
        <v>1.03</v>
      </c>
      <c r="C18">
        <v>99.83</v>
      </c>
      <c r="D18">
        <v>98.7</v>
      </c>
      <c r="E18">
        <v>77.53</v>
      </c>
      <c r="F18">
        <v>91.56</v>
      </c>
      <c r="G18">
        <v>87.65</v>
      </c>
      <c r="H18">
        <v>100.79</v>
      </c>
      <c r="I18">
        <v>57.98</v>
      </c>
      <c r="J18">
        <v>89.52</v>
      </c>
      <c r="K18">
        <v>96.94</v>
      </c>
      <c r="L18">
        <v>86.41</v>
      </c>
      <c r="M18">
        <v>72.58</v>
      </c>
      <c r="N18">
        <v>83.32</v>
      </c>
      <c r="O18">
        <v>100.15</v>
      </c>
      <c r="P18">
        <v>76.17</v>
      </c>
      <c r="Q18">
        <v>79.81</v>
      </c>
      <c r="R18">
        <v>100.15</v>
      </c>
      <c r="S18">
        <v>91.24</v>
      </c>
      <c r="T18">
        <v>77.08</v>
      </c>
      <c r="U18">
        <v>99.83</v>
      </c>
      <c r="V18">
        <v>83.48</v>
      </c>
      <c r="W18">
        <v>96.78</v>
      </c>
      <c r="X18">
        <v>99.18</v>
      </c>
      <c r="Y18">
        <v>90.3</v>
      </c>
      <c r="Z18">
        <v>100.15</v>
      </c>
      <c r="AB18">
        <v>23</v>
      </c>
      <c r="AC18">
        <v>965</v>
      </c>
      <c r="AD18">
        <v>39</v>
      </c>
      <c r="AE18">
        <v>22.48</v>
      </c>
    </row>
    <row r="19" spans="1:31" x14ac:dyDescent="0.25">
      <c r="A19" t="s">
        <v>64</v>
      </c>
      <c r="B19">
        <v>1.28</v>
      </c>
      <c r="C19">
        <v>99.99</v>
      </c>
      <c r="D19">
        <v>98.7</v>
      </c>
      <c r="E19">
        <v>77.23</v>
      </c>
      <c r="F19">
        <v>91.4</v>
      </c>
      <c r="G19">
        <v>87.34</v>
      </c>
      <c r="H19">
        <v>100.95</v>
      </c>
      <c r="I19">
        <v>57.69</v>
      </c>
      <c r="J19">
        <v>89.21</v>
      </c>
      <c r="K19">
        <v>96.94</v>
      </c>
      <c r="L19">
        <v>86.56</v>
      </c>
      <c r="M19">
        <v>71.98</v>
      </c>
      <c r="N19">
        <v>83.17</v>
      </c>
      <c r="O19">
        <v>100.31</v>
      </c>
      <c r="P19">
        <v>76.33</v>
      </c>
      <c r="Q19">
        <v>79.5</v>
      </c>
      <c r="R19">
        <v>100.15</v>
      </c>
      <c r="S19">
        <v>90.77</v>
      </c>
      <c r="T19">
        <v>76.78</v>
      </c>
      <c r="U19">
        <v>99.83</v>
      </c>
      <c r="V19">
        <v>83.48</v>
      </c>
      <c r="W19">
        <v>97.1</v>
      </c>
      <c r="X19">
        <v>99.34</v>
      </c>
      <c r="Y19">
        <v>90.46</v>
      </c>
      <c r="Z19">
        <v>99.99</v>
      </c>
      <c r="AB19">
        <v>23</v>
      </c>
      <c r="AC19">
        <v>965</v>
      </c>
      <c r="AD19">
        <v>39</v>
      </c>
      <c r="AE19">
        <v>22.49</v>
      </c>
    </row>
    <row r="20" spans="1:31" x14ac:dyDescent="0.25">
      <c r="A20" t="s">
        <v>65</v>
      </c>
      <c r="B20">
        <v>1.53</v>
      </c>
      <c r="C20">
        <v>99.99</v>
      </c>
      <c r="D20">
        <v>98.7</v>
      </c>
      <c r="E20">
        <v>76.930000000000007</v>
      </c>
      <c r="F20">
        <v>91.24</v>
      </c>
      <c r="G20">
        <v>87.5</v>
      </c>
      <c r="H20">
        <v>100.79</v>
      </c>
      <c r="I20">
        <v>56.98</v>
      </c>
      <c r="J20">
        <v>89.05</v>
      </c>
      <c r="K20">
        <v>96.94</v>
      </c>
      <c r="L20">
        <v>86.41</v>
      </c>
      <c r="M20">
        <v>71.98</v>
      </c>
      <c r="N20">
        <v>82.86</v>
      </c>
      <c r="O20">
        <v>100.31</v>
      </c>
      <c r="P20">
        <v>75.87</v>
      </c>
      <c r="Q20">
        <v>79.2</v>
      </c>
      <c r="R20">
        <v>100.15</v>
      </c>
      <c r="S20">
        <v>90.77</v>
      </c>
      <c r="T20">
        <v>76.17</v>
      </c>
      <c r="U20">
        <v>99.99</v>
      </c>
      <c r="V20">
        <v>83.17</v>
      </c>
      <c r="W20">
        <v>97.1</v>
      </c>
      <c r="X20">
        <v>98.86</v>
      </c>
      <c r="Y20">
        <v>90.15</v>
      </c>
      <c r="Z20">
        <v>99.99</v>
      </c>
      <c r="AB20">
        <v>23</v>
      </c>
      <c r="AC20">
        <v>965</v>
      </c>
      <c r="AD20">
        <v>39</v>
      </c>
      <c r="AE20">
        <v>22.49</v>
      </c>
    </row>
    <row r="21" spans="1:31" x14ac:dyDescent="0.25">
      <c r="A21" t="s">
        <v>66</v>
      </c>
      <c r="B21">
        <v>1.78</v>
      </c>
      <c r="C21">
        <v>99.99</v>
      </c>
      <c r="D21">
        <v>98.7</v>
      </c>
      <c r="E21">
        <v>76.17</v>
      </c>
      <c r="F21">
        <v>90.62</v>
      </c>
      <c r="G21">
        <v>86.87</v>
      </c>
      <c r="H21">
        <v>100.79</v>
      </c>
      <c r="I21">
        <v>56.41</v>
      </c>
      <c r="J21">
        <v>89.05</v>
      </c>
      <c r="K21">
        <v>97.1</v>
      </c>
      <c r="L21">
        <v>86.41</v>
      </c>
      <c r="M21">
        <v>71.540000000000006</v>
      </c>
      <c r="N21">
        <v>82.86</v>
      </c>
      <c r="O21">
        <v>100.47</v>
      </c>
      <c r="P21">
        <v>75.42</v>
      </c>
      <c r="Q21">
        <v>78.900000000000006</v>
      </c>
      <c r="R21">
        <v>99.99</v>
      </c>
      <c r="S21">
        <v>90.3</v>
      </c>
      <c r="T21">
        <v>75.72</v>
      </c>
      <c r="U21">
        <v>99.67</v>
      </c>
      <c r="V21">
        <v>83.32</v>
      </c>
      <c r="W21">
        <v>96.78</v>
      </c>
      <c r="X21">
        <v>98.86</v>
      </c>
      <c r="Y21">
        <v>89.99</v>
      </c>
      <c r="Z21">
        <v>99.99</v>
      </c>
      <c r="AB21">
        <v>23</v>
      </c>
      <c r="AC21">
        <v>965</v>
      </c>
      <c r="AD21">
        <v>39</v>
      </c>
      <c r="AE21">
        <v>22.49</v>
      </c>
    </row>
    <row r="22" spans="1:31" x14ac:dyDescent="0.25">
      <c r="A22" t="s">
        <v>67</v>
      </c>
      <c r="B22">
        <v>2.0299999999999998</v>
      </c>
      <c r="C22">
        <v>99.83</v>
      </c>
      <c r="D22">
        <v>98.22</v>
      </c>
      <c r="E22">
        <v>76.02</v>
      </c>
      <c r="F22">
        <v>90.3</v>
      </c>
      <c r="G22">
        <v>86.87</v>
      </c>
      <c r="H22">
        <v>100.95</v>
      </c>
      <c r="I22">
        <v>55.98</v>
      </c>
      <c r="J22">
        <v>88.9</v>
      </c>
      <c r="K22">
        <v>96.94</v>
      </c>
      <c r="L22">
        <v>86.25</v>
      </c>
      <c r="M22">
        <v>71.239999999999995</v>
      </c>
      <c r="N22">
        <v>82.4</v>
      </c>
      <c r="O22">
        <v>100.15</v>
      </c>
      <c r="P22">
        <v>75.12</v>
      </c>
      <c r="Q22">
        <v>78.900000000000006</v>
      </c>
      <c r="R22">
        <v>99.99</v>
      </c>
      <c r="S22">
        <v>89.99</v>
      </c>
      <c r="T22">
        <v>75.27</v>
      </c>
      <c r="U22">
        <v>99.83</v>
      </c>
      <c r="V22">
        <v>83.48</v>
      </c>
      <c r="W22">
        <v>96.78</v>
      </c>
      <c r="X22">
        <v>99.34</v>
      </c>
      <c r="Y22">
        <v>90.15</v>
      </c>
      <c r="Z22">
        <v>100.31</v>
      </c>
      <c r="AB22">
        <v>23</v>
      </c>
      <c r="AC22">
        <v>965</v>
      </c>
      <c r="AD22">
        <v>39</v>
      </c>
      <c r="AE22">
        <v>22.49</v>
      </c>
    </row>
    <row r="23" spans="1:31" x14ac:dyDescent="0.25">
      <c r="A23" t="s">
        <v>68</v>
      </c>
      <c r="B23">
        <v>2.2799999999999998</v>
      </c>
      <c r="C23">
        <v>99.67</v>
      </c>
      <c r="D23">
        <v>98.38</v>
      </c>
      <c r="E23">
        <v>75.569999999999993</v>
      </c>
      <c r="F23">
        <v>90.15</v>
      </c>
      <c r="G23">
        <v>86.56</v>
      </c>
      <c r="H23">
        <v>100.63</v>
      </c>
      <c r="I23">
        <v>55.27</v>
      </c>
      <c r="J23">
        <v>88.74</v>
      </c>
      <c r="K23">
        <v>96.62</v>
      </c>
      <c r="L23">
        <v>86.41</v>
      </c>
      <c r="M23">
        <v>70.650000000000006</v>
      </c>
      <c r="N23">
        <v>82.4</v>
      </c>
      <c r="O23">
        <v>100.15</v>
      </c>
      <c r="P23">
        <v>74.52</v>
      </c>
      <c r="Q23">
        <v>78.290000000000006</v>
      </c>
      <c r="R23">
        <v>99.83</v>
      </c>
      <c r="S23">
        <v>89.99</v>
      </c>
      <c r="T23">
        <v>74.67</v>
      </c>
      <c r="U23">
        <v>99.67</v>
      </c>
      <c r="V23">
        <v>83.17</v>
      </c>
      <c r="W23">
        <v>96.78</v>
      </c>
      <c r="X23">
        <v>99.02</v>
      </c>
      <c r="Y23">
        <v>89.99</v>
      </c>
      <c r="Z23">
        <v>99.99</v>
      </c>
      <c r="AB23">
        <v>23</v>
      </c>
      <c r="AC23">
        <v>965</v>
      </c>
      <c r="AD23">
        <v>39</v>
      </c>
      <c r="AE23">
        <v>22.52</v>
      </c>
    </row>
    <row r="24" spans="1:31" x14ac:dyDescent="0.25">
      <c r="A24" t="s">
        <v>69</v>
      </c>
      <c r="B24">
        <v>2.5299999999999998</v>
      </c>
      <c r="C24">
        <v>100.15</v>
      </c>
      <c r="D24">
        <v>98.7</v>
      </c>
      <c r="E24">
        <v>75.12</v>
      </c>
      <c r="F24">
        <v>89.83</v>
      </c>
      <c r="G24">
        <v>86.25</v>
      </c>
      <c r="H24">
        <v>100.63</v>
      </c>
      <c r="I24">
        <v>54.56</v>
      </c>
      <c r="J24">
        <v>88.74</v>
      </c>
      <c r="K24">
        <v>96.94</v>
      </c>
      <c r="L24">
        <v>86.41</v>
      </c>
      <c r="M24">
        <v>70.5</v>
      </c>
      <c r="N24">
        <v>81.94</v>
      </c>
      <c r="O24">
        <v>100.47</v>
      </c>
      <c r="P24">
        <v>74.52</v>
      </c>
      <c r="Q24">
        <v>77.989999999999995</v>
      </c>
      <c r="R24">
        <v>100.15</v>
      </c>
      <c r="S24">
        <v>89.52</v>
      </c>
      <c r="T24">
        <v>74.52</v>
      </c>
      <c r="U24">
        <v>99.83</v>
      </c>
      <c r="V24">
        <v>83.02</v>
      </c>
      <c r="W24">
        <v>96.62</v>
      </c>
      <c r="X24">
        <v>99.34</v>
      </c>
      <c r="Y24">
        <v>89.83</v>
      </c>
      <c r="Z24">
        <v>100.15</v>
      </c>
      <c r="AB24">
        <v>23</v>
      </c>
      <c r="AC24">
        <v>965</v>
      </c>
      <c r="AD24">
        <v>39</v>
      </c>
      <c r="AE24">
        <v>22.52</v>
      </c>
    </row>
    <row r="25" spans="1:31" x14ac:dyDescent="0.25">
      <c r="A25" t="s">
        <v>70</v>
      </c>
      <c r="B25">
        <v>2.78</v>
      </c>
      <c r="C25">
        <v>99.99</v>
      </c>
      <c r="D25">
        <v>98.54</v>
      </c>
      <c r="E25">
        <v>74.67</v>
      </c>
      <c r="F25">
        <v>89.83</v>
      </c>
      <c r="G25">
        <v>86.41</v>
      </c>
      <c r="H25">
        <v>100.95</v>
      </c>
      <c r="I25">
        <v>53.71</v>
      </c>
      <c r="J25">
        <v>89.05</v>
      </c>
      <c r="K25">
        <v>96.94</v>
      </c>
      <c r="L25">
        <v>85.94</v>
      </c>
      <c r="M25">
        <v>70.5</v>
      </c>
      <c r="N25">
        <v>82.1</v>
      </c>
      <c r="O25">
        <v>100.31</v>
      </c>
      <c r="P25">
        <v>74.069999999999993</v>
      </c>
      <c r="Q25">
        <v>77.84</v>
      </c>
      <c r="R25">
        <v>99.83</v>
      </c>
      <c r="S25">
        <v>89.37</v>
      </c>
      <c r="T25">
        <v>73.77</v>
      </c>
      <c r="U25">
        <v>99.99</v>
      </c>
      <c r="V25">
        <v>83.32</v>
      </c>
      <c r="W25">
        <v>96.78</v>
      </c>
      <c r="X25">
        <v>99.18</v>
      </c>
      <c r="Y25">
        <v>89.68</v>
      </c>
      <c r="Z25">
        <v>99.99</v>
      </c>
      <c r="AB25">
        <v>23</v>
      </c>
      <c r="AC25">
        <v>965</v>
      </c>
      <c r="AD25">
        <v>39</v>
      </c>
      <c r="AE25">
        <v>22.54</v>
      </c>
    </row>
    <row r="26" spans="1:31" x14ac:dyDescent="0.25">
      <c r="A26" t="s">
        <v>71</v>
      </c>
      <c r="B26">
        <v>3.03</v>
      </c>
      <c r="C26">
        <v>100.15</v>
      </c>
      <c r="D26">
        <v>98.54</v>
      </c>
      <c r="E26">
        <v>74.52</v>
      </c>
      <c r="F26">
        <v>90.15</v>
      </c>
      <c r="G26">
        <v>86.1</v>
      </c>
      <c r="H26">
        <v>100.79</v>
      </c>
      <c r="I26">
        <v>53.14</v>
      </c>
      <c r="J26">
        <v>88.58</v>
      </c>
      <c r="K26">
        <v>96.94</v>
      </c>
      <c r="L26">
        <v>86.41</v>
      </c>
      <c r="M26">
        <v>70.349999999999994</v>
      </c>
      <c r="N26">
        <v>81.94</v>
      </c>
      <c r="O26">
        <v>100.15</v>
      </c>
      <c r="P26">
        <v>73.92</v>
      </c>
      <c r="Q26">
        <v>77.38</v>
      </c>
      <c r="R26">
        <v>99.34</v>
      </c>
      <c r="S26">
        <v>89.52</v>
      </c>
      <c r="T26">
        <v>73.33</v>
      </c>
      <c r="U26">
        <v>99.67</v>
      </c>
      <c r="V26">
        <v>82.86</v>
      </c>
      <c r="W26">
        <v>96.94</v>
      </c>
      <c r="X26">
        <v>99.18</v>
      </c>
      <c r="Y26">
        <v>89.68</v>
      </c>
      <c r="Z26">
        <v>99.83</v>
      </c>
      <c r="AB26">
        <v>23</v>
      </c>
      <c r="AC26">
        <v>965</v>
      </c>
      <c r="AD26">
        <v>39</v>
      </c>
      <c r="AE26">
        <v>22.54</v>
      </c>
    </row>
    <row r="27" spans="1:31" x14ac:dyDescent="0.25">
      <c r="A27" t="s">
        <v>72</v>
      </c>
      <c r="B27">
        <v>3.28</v>
      </c>
      <c r="C27">
        <v>99.99</v>
      </c>
      <c r="D27">
        <v>98.38</v>
      </c>
      <c r="E27">
        <v>73.92</v>
      </c>
      <c r="F27">
        <v>89.68</v>
      </c>
      <c r="G27">
        <v>86.25</v>
      </c>
      <c r="H27">
        <v>100.79</v>
      </c>
      <c r="I27">
        <v>52.3</v>
      </c>
      <c r="J27">
        <v>89.21</v>
      </c>
      <c r="K27">
        <v>96.78</v>
      </c>
      <c r="L27">
        <v>85.79</v>
      </c>
      <c r="M27">
        <v>69.760000000000005</v>
      </c>
      <c r="N27">
        <v>81.94</v>
      </c>
      <c r="O27">
        <v>100.63</v>
      </c>
      <c r="P27">
        <v>73.47</v>
      </c>
      <c r="Q27">
        <v>77.23</v>
      </c>
      <c r="R27">
        <v>99.83</v>
      </c>
      <c r="S27">
        <v>89.37</v>
      </c>
      <c r="T27">
        <v>73.180000000000007</v>
      </c>
      <c r="U27">
        <v>99.99</v>
      </c>
      <c r="V27">
        <v>83.02</v>
      </c>
      <c r="W27">
        <v>96.62</v>
      </c>
      <c r="X27">
        <v>98.86</v>
      </c>
      <c r="Y27">
        <v>89.68</v>
      </c>
      <c r="Z27">
        <v>99.99</v>
      </c>
      <c r="AB27">
        <v>23</v>
      </c>
      <c r="AC27">
        <v>965</v>
      </c>
      <c r="AD27">
        <v>39</v>
      </c>
      <c r="AE27">
        <v>22.56</v>
      </c>
    </row>
    <row r="28" spans="1:31" x14ac:dyDescent="0.25">
      <c r="A28" t="s">
        <v>73</v>
      </c>
      <c r="B28">
        <v>3.55</v>
      </c>
      <c r="C28">
        <v>99.67</v>
      </c>
      <c r="D28">
        <v>98.38</v>
      </c>
      <c r="E28">
        <v>73.33</v>
      </c>
      <c r="F28">
        <v>89.52</v>
      </c>
      <c r="G28">
        <v>85.94</v>
      </c>
      <c r="H28">
        <v>100.63</v>
      </c>
      <c r="I28">
        <v>51.17</v>
      </c>
      <c r="J28">
        <v>88.9</v>
      </c>
      <c r="K28">
        <v>97.1</v>
      </c>
      <c r="L28">
        <v>85.94</v>
      </c>
      <c r="M28">
        <v>69.61</v>
      </c>
      <c r="N28">
        <v>81.48</v>
      </c>
      <c r="O28">
        <v>100.31</v>
      </c>
      <c r="P28">
        <v>72.88</v>
      </c>
      <c r="Q28">
        <v>76.930000000000007</v>
      </c>
      <c r="R28">
        <v>99.67</v>
      </c>
      <c r="S28">
        <v>88.74</v>
      </c>
      <c r="T28">
        <v>72.430000000000007</v>
      </c>
      <c r="U28">
        <v>99.83</v>
      </c>
      <c r="V28">
        <v>83.02</v>
      </c>
      <c r="W28">
        <v>96.62</v>
      </c>
      <c r="X28">
        <v>98.86</v>
      </c>
      <c r="Y28">
        <v>89.68</v>
      </c>
      <c r="Z28">
        <v>99.67</v>
      </c>
      <c r="AB28">
        <v>23</v>
      </c>
      <c r="AC28">
        <v>965</v>
      </c>
      <c r="AD28">
        <v>39</v>
      </c>
      <c r="AE28">
        <v>22.56</v>
      </c>
    </row>
    <row r="29" spans="1:31" x14ac:dyDescent="0.25">
      <c r="A29" t="s">
        <v>74</v>
      </c>
      <c r="B29">
        <v>3.8</v>
      </c>
      <c r="C29">
        <v>99.99</v>
      </c>
      <c r="D29">
        <v>98.7</v>
      </c>
      <c r="E29">
        <v>73.180000000000007</v>
      </c>
      <c r="F29">
        <v>89.21</v>
      </c>
      <c r="G29">
        <v>85.63</v>
      </c>
      <c r="H29">
        <v>100.79</v>
      </c>
      <c r="I29">
        <v>50.75</v>
      </c>
      <c r="J29">
        <v>89.37</v>
      </c>
      <c r="K29">
        <v>96.94</v>
      </c>
      <c r="L29">
        <v>86.1</v>
      </c>
      <c r="M29">
        <v>68.87</v>
      </c>
      <c r="N29">
        <v>81.64</v>
      </c>
      <c r="O29">
        <v>100.31</v>
      </c>
      <c r="P29">
        <v>72.88</v>
      </c>
      <c r="Q29">
        <v>76.930000000000007</v>
      </c>
      <c r="R29">
        <v>99.51</v>
      </c>
      <c r="S29">
        <v>88.74</v>
      </c>
      <c r="T29">
        <v>72.28</v>
      </c>
      <c r="U29">
        <v>99.67</v>
      </c>
      <c r="V29">
        <v>83.02</v>
      </c>
      <c r="W29">
        <v>96.78</v>
      </c>
      <c r="X29">
        <v>99.18</v>
      </c>
      <c r="Y29">
        <v>89.21</v>
      </c>
      <c r="Z29">
        <v>99.99</v>
      </c>
      <c r="AB29">
        <v>23</v>
      </c>
      <c r="AC29">
        <v>965</v>
      </c>
      <c r="AD29">
        <v>39</v>
      </c>
      <c r="AE29">
        <v>22.58</v>
      </c>
    </row>
    <row r="30" spans="1:31" x14ac:dyDescent="0.25">
      <c r="A30" t="s">
        <v>75</v>
      </c>
      <c r="B30">
        <v>4.05</v>
      </c>
      <c r="C30">
        <v>100.15</v>
      </c>
      <c r="D30">
        <v>98.7</v>
      </c>
      <c r="E30">
        <v>72.73</v>
      </c>
      <c r="F30">
        <v>88.9</v>
      </c>
      <c r="G30">
        <v>85.94</v>
      </c>
      <c r="H30">
        <v>100.79</v>
      </c>
      <c r="I30">
        <v>49.91</v>
      </c>
      <c r="J30">
        <v>89.21</v>
      </c>
      <c r="K30">
        <v>97.42</v>
      </c>
      <c r="L30">
        <v>85.94</v>
      </c>
      <c r="M30">
        <v>68.72</v>
      </c>
      <c r="N30">
        <v>81.790000000000006</v>
      </c>
      <c r="O30">
        <v>100.63</v>
      </c>
      <c r="P30">
        <v>72.430000000000007</v>
      </c>
      <c r="Q30">
        <v>76.78</v>
      </c>
      <c r="R30">
        <v>99.51</v>
      </c>
      <c r="S30">
        <v>88.74</v>
      </c>
      <c r="T30">
        <v>72.13</v>
      </c>
      <c r="U30">
        <v>99.83</v>
      </c>
      <c r="V30">
        <v>82.86</v>
      </c>
      <c r="W30">
        <v>96.62</v>
      </c>
      <c r="X30">
        <v>99.02</v>
      </c>
      <c r="Y30">
        <v>89.68</v>
      </c>
      <c r="Z30">
        <v>99.67</v>
      </c>
      <c r="AB30">
        <v>23</v>
      </c>
      <c r="AC30">
        <v>965</v>
      </c>
      <c r="AD30">
        <v>39</v>
      </c>
      <c r="AE30">
        <v>22.58</v>
      </c>
    </row>
    <row r="31" spans="1:31" x14ac:dyDescent="0.25">
      <c r="A31" t="s">
        <v>76</v>
      </c>
      <c r="B31">
        <v>4.3</v>
      </c>
      <c r="C31">
        <v>99.67</v>
      </c>
      <c r="D31">
        <v>98.38</v>
      </c>
      <c r="E31">
        <v>72.28</v>
      </c>
      <c r="F31">
        <v>88.43</v>
      </c>
      <c r="G31">
        <v>85.63</v>
      </c>
      <c r="H31">
        <v>100.79</v>
      </c>
      <c r="I31">
        <v>48.8</v>
      </c>
      <c r="J31">
        <v>89.05</v>
      </c>
      <c r="K31">
        <v>97.1</v>
      </c>
      <c r="L31">
        <v>85.94</v>
      </c>
      <c r="M31">
        <v>68.58</v>
      </c>
      <c r="N31">
        <v>81.64</v>
      </c>
      <c r="O31">
        <v>99.99</v>
      </c>
      <c r="P31">
        <v>71.69</v>
      </c>
      <c r="Q31">
        <v>76.02</v>
      </c>
      <c r="R31">
        <v>99.34</v>
      </c>
      <c r="S31">
        <v>88.58</v>
      </c>
      <c r="T31">
        <v>71.69</v>
      </c>
      <c r="U31">
        <v>99.67</v>
      </c>
      <c r="V31">
        <v>82.71</v>
      </c>
      <c r="W31">
        <v>96.47</v>
      </c>
      <c r="X31">
        <v>99.02</v>
      </c>
      <c r="Y31">
        <v>89.52</v>
      </c>
      <c r="Z31">
        <v>99.67</v>
      </c>
      <c r="AB31">
        <v>23</v>
      </c>
      <c r="AC31">
        <v>965</v>
      </c>
      <c r="AD31">
        <v>39</v>
      </c>
      <c r="AE31">
        <v>22.58</v>
      </c>
    </row>
    <row r="32" spans="1:31" x14ac:dyDescent="0.25">
      <c r="A32" t="s">
        <v>77</v>
      </c>
      <c r="B32">
        <v>4.55</v>
      </c>
      <c r="C32">
        <v>99.99</v>
      </c>
      <c r="D32">
        <v>98.54</v>
      </c>
      <c r="E32">
        <v>72.28</v>
      </c>
      <c r="F32">
        <v>88.43</v>
      </c>
      <c r="G32">
        <v>85.63</v>
      </c>
      <c r="H32">
        <v>100.95</v>
      </c>
      <c r="I32">
        <v>48.38</v>
      </c>
      <c r="J32">
        <v>89.05</v>
      </c>
      <c r="K32">
        <v>97.42</v>
      </c>
      <c r="L32">
        <v>85.63</v>
      </c>
      <c r="M32">
        <v>68.58</v>
      </c>
      <c r="N32">
        <v>81.48</v>
      </c>
      <c r="O32">
        <v>100.31</v>
      </c>
      <c r="P32">
        <v>71.39</v>
      </c>
      <c r="Q32">
        <v>76.33</v>
      </c>
      <c r="R32">
        <v>99.67</v>
      </c>
      <c r="S32">
        <v>88.27</v>
      </c>
      <c r="T32">
        <v>71.39</v>
      </c>
      <c r="U32">
        <v>99.99</v>
      </c>
      <c r="V32">
        <v>83.02</v>
      </c>
      <c r="W32">
        <v>96.47</v>
      </c>
      <c r="X32">
        <v>99.34</v>
      </c>
      <c r="Y32">
        <v>89.52</v>
      </c>
      <c r="Z32">
        <v>99.67</v>
      </c>
      <c r="AB32">
        <v>23</v>
      </c>
      <c r="AC32">
        <v>965</v>
      </c>
      <c r="AD32">
        <v>39</v>
      </c>
      <c r="AE32">
        <v>22.58</v>
      </c>
    </row>
    <row r="33" spans="1:31" x14ac:dyDescent="0.25">
      <c r="A33" t="s">
        <v>78</v>
      </c>
      <c r="B33">
        <v>4.8</v>
      </c>
      <c r="C33">
        <v>99.99</v>
      </c>
      <c r="D33">
        <v>98.54</v>
      </c>
      <c r="E33">
        <v>71.540000000000006</v>
      </c>
      <c r="F33">
        <v>88.12</v>
      </c>
      <c r="G33">
        <v>85.02</v>
      </c>
      <c r="H33">
        <v>100.95</v>
      </c>
      <c r="I33">
        <v>47.54</v>
      </c>
      <c r="J33">
        <v>89.05</v>
      </c>
      <c r="K33">
        <v>97.26</v>
      </c>
      <c r="L33">
        <v>85.48</v>
      </c>
      <c r="M33">
        <v>68.28</v>
      </c>
      <c r="N33">
        <v>81.33</v>
      </c>
      <c r="O33">
        <v>100.15</v>
      </c>
      <c r="P33">
        <v>70.94</v>
      </c>
      <c r="Q33">
        <v>76.02</v>
      </c>
      <c r="R33">
        <v>99.34</v>
      </c>
      <c r="S33">
        <v>88.43</v>
      </c>
      <c r="T33">
        <v>71.239999999999995</v>
      </c>
      <c r="U33">
        <v>100.15</v>
      </c>
      <c r="V33">
        <v>82.86</v>
      </c>
      <c r="W33">
        <v>96.94</v>
      </c>
      <c r="X33">
        <v>99.34</v>
      </c>
      <c r="Y33">
        <v>89.37</v>
      </c>
      <c r="Z33">
        <v>100.15</v>
      </c>
      <c r="AB33">
        <v>23</v>
      </c>
      <c r="AC33">
        <v>965</v>
      </c>
      <c r="AD33">
        <v>39</v>
      </c>
      <c r="AE33">
        <v>22.58</v>
      </c>
    </row>
    <row r="34" spans="1:31" x14ac:dyDescent="0.25">
      <c r="A34" t="s">
        <v>79</v>
      </c>
      <c r="B34">
        <v>5.05</v>
      </c>
      <c r="C34">
        <v>100.15</v>
      </c>
      <c r="D34">
        <v>98.38</v>
      </c>
      <c r="E34">
        <v>71.09</v>
      </c>
      <c r="F34">
        <v>87.81</v>
      </c>
      <c r="G34">
        <v>85.33</v>
      </c>
      <c r="H34">
        <v>100.95</v>
      </c>
      <c r="I34">
        <v>46.57</v>
      </c>
      <c r="J34">
        <v>89.21</v>
      </c>
      <c r="K34">
        <v>97.26</v>
      </c>
      <c r="L34">
        <v>85.33</v>
      </c>
      <c r="M34">
        <v>68.13</v>
      </c>
      <c r="N34">
        <v>81.64</v>
      </c>
      <c r="O34">
        <v>100.47</v>
      </c>
      <c r="P34">
        <v>70.650000000000006</v>
      </c>
      <c r="Q34">
        <v>75.87</v>
      </c>
      <c r="R34">
        <v>99.18</v>
      </c>
      <c r="S34">
        <v>88.27</v>
      </c>
      <c r="T34">
        <v>70.650000000000006</v>
      </c>
      <c r="U34">
        <v>99.67</v>
      </c>
      <c r="V34">
        <v>82.71</v>
      </c>
      <c r="W34">
        <v>96.31</v>
      </c>
      <c r="X34">
        <v>99.18</v>
      </c>
      <c r="Y34">
        <v>89.52</v>
      </c>
      <c r="Z34">
        <v>99.51</v>
      </c>
      <c r="AB34">
        <v>23</v>
      </c>
      <c r="AC34">
        <v>965</v>
      </c>
      <c r="AD34">
        <v>39</v>
      </c>
      <c r="AE34">
        <v>22.59</v>
      </c>
    </row>
    <row r="35" spans="1:31" x14ac:dyDescent="0.25">
      <c r="A35" t="s">
        <v>80</v>
      </c>
      <c r="B35">
        <v>5.3</v>
      </c>
      <c r="C35">
        <v>99.67</v>
      </c>
      <c r="D35">
        <v>98.54</v>
      </c>
      <c r="E35">
        <v>70.94</v>
      </c>
      <c r="F35">
        <v>87.5</v>
      </c>
      <c r="G35">
        <v>84.71</v>
      </c>
      <c r="H35">
        <v>100.63</v>
      </c>
      <c r="I35">
        <v>45.74</v>
      </c>
      <c r="J35">
        <v>89.05</v>
      </c>
      <c r="K35">
        <v>97.42</v>
      </c>
      <c r="L35">
        <v>85.63</v>
      </c>
      <c r="M35">
        <v>67.84</v>
      </c>
      <c r="N35">
        <v>81.180000000000007</v>
      </c>
      <c r="O35">
        <v>100.31</v>
      </c>
      <c r="P35">
        <v>70.2</v>
      </c>
      <c r="Q35">
        <v>75.42</v>
      </c>
      <c r="R35">
        <v>99.34</v>
      </c>
      <c r="S35">
        <v>87.5</v>
      </c>
      <c r="T35">
        <v>70.2</v>
      </c>
      <c r="U35">
        <v>99.51</v>
      </c>
      <c r="V35">
        <v>82.71</v>
      </c>
      <c r="W35">
        <v>96.47</v>
      </c>
      <c r="X35">
        <v>99.51</v>
      </c>
      <c r="Y35">
        <v>89.37</v>
      </c>
      <c r="Z35">
        <v>99.51</v>
      </c>
      <c r="AB35">
        <v>23</v>
      </c>
      <c r="AC35">
        <v>965</v>
      </c>
      <c r="AD35">
        <v>39</v>
      </c>
      <c r="AE35">
        <v>22.59</v>
      </c>
    </row>
    <row r="36" spans="1:31" x14ac:dyDescent="0.25">
      <c r="A36" t="s">
        <v>81</v>
      </c>
      <c r="B36">
        <v>5.55</v>
      </c>
      <c r="C36">
        <v>100.15</v>
      </c>
      <c r="D36">
        <v>98.54</v>
      </c>
      <c r="E36">
        <v>70.5</v>
      </c>
      <c r="F36">
        <v>87.34</v>
      </c>
      <c r="G36">
        <v>85.02</v>
      </c>
      <c r="H36">
        <v>100.79</v>
      </c>
      <c r="I36">
        <v>45.05</v>
      </c>
      <c r="J36">
        <v>89.68</v>
      </c>
      <c r="K36">
        <v>97.42</v>
      </c>
      <c r="L36">
        <v>85.33</v>
      </c>
      <c r="M36">
        <v>67.55</v>
      </c>
      <c r="N36">
        <v>81.33</v>
      </c>
      <c r="O36">
        <v>100.31</v>
      </c>
      <c r="P36">
        <v>69.760000000000005</v>
      </c>
      <c r="Q36">
        <v>75.42</v>
      </c>
      <c r="R36">
        <v>99.34</v>
      </c>
      <c r="S36">
        <v>87.96</v>
      </c>
      <c r="T36">
        <v>69.91</v>
      </c>
      <c r="U36">
        <v>99.83</v>
      </c>
      <c r="V36">
        <v>82.56</v>
      </c>
      <c r="W36">
        <v>96.47</v>
      </c>
      <c r="X36">
        <v>99.18</v>
      </c>
      <c r="Y36">
        <v>89.52</v>
      </c>
      <c r="Z36">
        <v>99.83</v>
      </c>
      <c r="AB36">
        <v>23</v>
      </c>
      <c r="AC36">
        <v>965</v>
      </c>
      <c r="AD36">
        <v>39</v>
      </c>
      <c r="AE36">
        <v>22.61</v>
      </c>
    </row>
    <row r="37" spans="1:31" x14ac:dyDescent="0.25">
      <c r="A37" t="s">
        <v>82</v>
      </c>
      <c r="B37">
        <v>5.8</v>
      </c>
      <c r="C37">
        <v>99.99</v>
      </c>
      <c r="D37">
        <v>98.54</v>
      </c>
      <c r="E37">
        <v>70.349999999999994</v>
      </c>
      <c r="F37">
        <v>87.34</v>
      </c>
      <c r="G37">
        <v>84.71</v>
      </c>
      <c r="H37">
        <v>100.63</v>
      </c>
      <c r="I37">
        <v>44.64</v>
      </c>
      <c r="J37">
        <v>89.37</v>
      </c>
      <c r="K37">
        <v>97.26</v>
      </c>
      <c r="L37">
        <v>85.63</v>
      </c>
      <c r="M37">
        <v>67.69</v>
      </c>
      <c r="N37">
        <v>81.33</v>
      </c>
      <c r="O37">
        <v>100.15</v>
      </c>
      <c r="P37">
        <v>69.31</v>
      </c>
      <c r="Q37">
        <v>75.27</v>
      </c>
      <c r="R37">
        <v>99.34</v>
      </c>
      <c r="S37">
        <v>87.81</v>
      </c>
      <c r="T37">
        <v>69.31</v>
      </c>
      <c r="U37">
        <v>99.67</v>
      </c>
      <c r="V37">
        <v>82.56</v>
      </c>
      <c r="W37">
        <v>96.78</v>
      </c>
      <c r="X37">
        <v>99.34</v>
      </c>
      <c r="Y37">
        <v>89.05</v>
      </c>
      <c r="Z37">
        <v>99.99</v>
      </c>
      <c r="AB37">
        <v>23</v>
      </c>
      <c r="AC37">
        <v>965</v>
      </c>
      <c r="AD37">
        <v>39</v>
      </c>
      <c r="AE37">
        <v>22.61</v>
      </c>
    </row>
    <row r="38" spans="1:31" x14ac:dyDescent="0.25">
      <c r="A38" t="s">
        <v>83</v>
      </c>
      <c r="B38">
        <v>6.05</v>
      </c>
      <c r="C38">
        <v>99.83</v>
      </c>
      <c r="D38">
        <v>98.38</v>
      </c>
      <c r="E38">
        <v>69.760000000000005</v>
      </c>
      <c r="F38">
        <v>87.34</v>
      </c>
      <c r="G38">
        <v>84.71</v>
      </c>
      <c r="H38">
        <v>100.79</v>
      </c>
      <c r="I38">
        <v>44.09</v>
      </c>
      <c r="J38">
        <v>89.52</v>
      </c>
      <c r="K38">
        <v>97.26</v>
      </c>
      <c r="L38">
        <v>85.48</v>
      </c>
      <c r="M38">
        <v>67.11</v>
      </c>
      <c r="N38">
        <v>81.180000000000007</v>
      </c>
      <c r="O38">
        <v>100.63</v>
      </c>
      <c r="P38">
        <v>69.17</v>
      </c>
      <c r="Q38">
        <v>74.819999999999993</v>
      </c>
      <c r="R38">
        <v>99.18</v>
      </c>
      <c r="S38">
        <v>87.5</v>
      </c>
      <c r="T38">
        <v>69.17</v>
      </c>
      <c r="U38">
        <v>99.34</v>
      </c>
      <c r="V38">
        <v>82.56</v>
      </c>
      <c r="W38">
        <v>96.47</v>
      </c>
      <c r="X38">
        <v>99.34</v>
      </c>
      <c r="Y38">
        <v>89.37</v>
      </c>
      <c r="Z38">
        <v>99.51</v>
      </c>
      <c r="AB38">
        <v>23</v>
      </c>
      <c r="AC38">
        <v>965</v>
      </c>
      <c r="AD38">
        <v>39</v>
      </c>
      <c r="AE38">
        <v>22.63</v>
      </c>
    </row>
    <row r="39" spans="1:31" x14ac:dyDescent="0.25">
      <c r="A39" t="s">
        <v>84</v>
      </c>
      <c r="B39">
        <v>6.3</v>
      </c>
      <c r="C39">
        <v>99.83</v>
      </c>
      <c r="D39">
        <v>98.7</v>
      </c>
      <c r="E39">
        <v>69.17</v>
      </c>
      <c r="F39">
        <v>87.18</v>
      </c>
      <c r="G39">
        <v>84.4</v>
      </c>
      <c r="H39">
        <v>100.79</v>
      </c>
      <c r="I39">
        <v>43.13</v>
      </c>
      <c r="J39">
        <v>89.37</v>
      </c>
      <c r="K39">
        <v>97.1</v>
      </c>
      <c r="L39">
        <v>85.48</v>
      </c>
      <c r="M39">
        <v>66.959999999999994</v>
      </c>
      <c r="N39">
        <v>80.72</v>
      </c>
      <c r="O39">
        <v>100.63</v>
      </c>
      <c r="P39">
        <v>68.72</v>
      </c>
      <c r="Q39">
        <v>74.52</v>
      </c>
      <c r="R39">
        <v>99.02</v>
      </c>
      <c r="S39">
        <v>87.81</v>
      </c>
      <c r="T39">
        <v>68.87</v>
      </c>
      <c r="U39">
        <v>99.51</v>
      </c>
      <c r="V39">
        <v>82.4</v>
      </c>
      <c r="W39">
        <v>96.94</v>
      </c>
      <c r="X39">
        <v>99.34</v>
      </c>
      <c r="Y39">
        <v>89.21</v>
      </c>
      <c r="Z39">
        <v>99.51</v>
      </c>
      <c r="AB39">
        <v>23</v>
      </c>
      <c r="AC39">
        <v>965</v>
      </c>
      <c r="AD39">
        <v>39</v>
      </c>
      <c r="AE39">
        <v>22.63</v>
      </c>
    </row>
    <row r="40" spans="1:31" x14ac:dyDescent="0.25">
      <c r="A40" t="s">
        <v>85</v>
      </c>
      <c r="B40">
        <v>6.55</v>
      </c>
      <c r="C40">
        <v>99.83</v>
      </c>
      <c r="D40">
        <v>98.7</v>
      </c>
      <c r="E40">
        <v>69.17</v>
      </c>
      <c r="F40">
        <v>86.56</v>
      </c>
      <c r="G40">
        <v>84.09</v>
      </c>
      <c r="H40">
        <v>100.79</v>
      </c>
      <c r="I40">
        <v>42.85</v>
      </c>
      <c r="J40">
        <v>89.37</v>
      </c>
      <c r="K40">
        <v>96.94</v>
      </c>
      <c r="L40">
        <v>85.48</v>
      </c>
      <c r="M40">
        <v>66.37</v>
      </c>
      <c r="N40">
        <v>80.87</v>
      </c>
      <c r="O40">
        <v>100.15</v>
      </c>
      <c r="P40">
        <v>68.13</v>
      </c>
      <c r="Q40">
        <v>74.67</v>
      </c>
      <c r="R40">
        <v>98.7</v>
      </c>
      <c r="S40">
        <v>87.18</v>
      </c>
      <c r="T40">
        <v>68.28</v>
      </c>
      <c r="U40">
        <v>99.51</v>
      </c>
      <c r="V40">
        <v>82.4</v>
      </c>
      <c r="W40">
        <v>96.31</v>
      </c>
      <c r="X40">
        <v>99.18</v>
      </c>
      <c r="Y40">
        <v>89.52</v>
      </c>
      <c r="Z40">
        <v>99.83</v>
      </c>
      <c r="AB40">
        <v>23</v>
      </c>
      <c r="AC40">
        <v>965</v>
      </c>
      <c r="AD40">
        <v>39</v>
      </c>
      <c r="AE40">
        <v>22.63</v>
      </c>
    </row>
    <row r="41" spans="1:31" x14ac:dyDescent="0.25">
      <c r="A41" t="s">
        <v>86</v>
      </c>
      <c r="B41">
        <v>6.8</v>
      </c>
      <c r="C41">
        <v>100.15</v>
      </c>
      <c r="D41">
        <v>98.54</v>
      </c>
      <c r="E41">
        <v>68.87</v>
      </c>
      <c r="F41">
        <v>86.56</v>
      </c>
      <c r="G41">
        <v>83.94</v>
      </c>
      <c r="H41">
        <v>100.95</v>
      </c>
      <c r="I41">
        <v>42.17</v>
      </c>
      <c r="J41">
        <v>89.83</v>
      </c>
      <c r="K41">
        <v>97.1</v>
      </c>
      <c r="L41">
        <v>85.33</v>
      </c>
      <c r="M41">
        <v>66.37</v>
      </c>
      <c r="N41">
        <v>80.87</v>
      </c>
      <c r="O41">
        <v>100.47</v>
      </c>
      <c r="P41">
        <v>68.13</v>
      </c>
      <c r="Q41">
        <v>73.92</v>
      </c>
      <c r="R41">
        <v>99.02</v>
      </c>
      <c r="S41">
        <v>87.65</v>
      </c>
      <c r="T41">
        <v>67.989999999999995</v>
      </c>
      <c r="U41">
        <v>99.83</v>
      </c>
      <c r="V41">
        <v>82.1</v>
      </c>
      <c r="W41">
        <v>97.1</v>
      </c>
      <c r="X41">
        <v>99.51</v>
      </c>
      <c r="Y41">
        <v>89.37</v>
      </c>
      <c r="Z41">
        <v>99.83</v>
      </c>
      <c r="AB41">
        <v>23</v>
      </c>
      <c r="AC41">
        <v>965</v>
      </c>
      <c r="AD41">
        <v>39</v>
      </c>
      <c r="AE41">
        <v>22.63</v>
      </c>
    </row>
    <row r="42" spans="1:31" x14ac:dyDescent="0.25">
      <c r="A42" t="s">
        <v>87</v>
      </c>
      <c r="B42">
        <v>7.05</v>
      </c>
      <c r="C42">
        <v>99.99</v>
      </c>
      <c r="D42">
        <v>98.38</v>
      </c>
      <c r="E42">
        <v>68.58</v>
      </c>
      <c r="F42">
        <v>86.72</v>
      </c>
      <c r="G42">
        <v>84.09</v>
      </c>
      <c r="H42">
        <v>100.79</v>
      </c>
      <c r="I42">
        <v>41.62</v>
      </c>
      <c r="J42">
        <v>89.52</v>
      </c>
      <c r="K42">
        <v>97.1</v>
      </c>
      <c r="L42">
        <v>85.33</v>
      </c>
      <c r="M42">
        <v>66.37</v>
      </c>
      <c r="N42">
        <v>80.569999999999993</v>
      </c>
      <c r="O42">
        <v>100.47</v>
      </c>
      <c r="P42">
        <v>67.55</v>
      </c>
      <c r="Q42">
        <v>73.62</v>
      </c>
      <c r="R42">
        <v>98.7</v>
      </c>
      <c r="S42">
        <v>87.5</v>
      </c>
      <c r="T42">
        <v>67.84</v>
      </c>
      <c r="U42">
        <v>99.34</v>
      </c>
      <c r="V42">
        <v>82.1</v>
      </c>
      <c r="W42">
        <v>96.47</v>
      </c>
      <c r="X42">
        <v>99.18</v>
      </c>
      <c r="Y42">
        <v>89.21</v>
      </c>
      <c r="Z42">
        <v>99.67</v>
      </c>
      <c r="AB42">
        <v>23</v>
      </c>
      <c r="AC42">
        <v>965</v>
      </c>
      <c r="AD42">
        <v>39</v>
      </c>
      <c r="AE42">
        <v>22.66</v>
      </c>
    </row>
    <row r="43" spans="1:31" x14ac:dyDescent="0.25">
      <c r="A43" t="s">
        <v>88</v>
      </c>
      <c r="B43">
        <v>7.3</v>
      </c>
      <c r="C43">
        <v>99.99</v>
      </c>
      <c r="D43">
        <v>98.54</v>
      </c>
      <c r="E43">
        <v>67.989999999999995</v>
      </c>
      <c r="F43">
        <v>86.72</v>
      </c>
      <c r="G43">
        <v>84.09</v>
      </c>
      <c r="H43">
        <v>100.79</v>
      </c>
      <c r="I43">
        <v>41.21</v>
      </c>
      <c r="J43">
        <v>89.68</v>
      </c>
      <c r="K43">
        <v>96.94</v>
      </c>
      <c r="L43">
        <v>85.48</v>
      </c>
      <c r="M43">
        <v>65.930000000000007</v>
      </c>
      <c r="N43">
        <v>80.42</v>
      </c>
      <c r="O43">
        <v>100.47</v>
      </c>
      <c r="P43">
        <v>67.25</v>
      </c>
      <c r="Q43">
        <v>73.62</v>
      </c>
      <c r="R43">
        <v>98.86</v>
      </c>
      <c r="S43">
        <v>87.03</v>
      </c>
      <c r="T43">
        <v>67.69</v>
      </c>
      <c r="U43">
        <v>99.83</v>
      </c>
      <c r="V43">
        <v>81.94</v>
      </c>
      <c r="W43">
        <v>96.47</v>
      </c>
      <c r="X43">
        <v>99.34</v>
      </c>
      <c r="Y43">
        <v>89.52</v>
      </c>
      <c r="Z43">
        <v>99.83</v>
      </c>
      <c r="AB43">
        <v>23</v>
      </c>
      <c r="AC43">
        <v>965</v>
      </c>
      <c r="AD43">
        <v>39</v>
      </c>
      <c r="AE43">
        <v>22.65</v>
      </c>
    </row>
    <row r="44" spans="1:31" x14ac:dyDescent="0.25">
      <c r="A44" t="s">
        <v>89</v>
      </c>
      <c r="B44">
        <v>7.55</v>
      </c>
      <c r="C44">
        <v>100.15</v>
      </c>
      <c r="D44">
        <v>98.7</v>
      </c>
      <c r="E44">
        <v>67.989999999999995</v>
      </c>
      <c r="F44">
        <v>86.41</v>
      </c>
      <c r="G44">
        <v>83.63</v>
      </c>
      <c r="H44">
        <v>100.95</v>
      </c>
      <c r="I44">
        <v>40.67</v>
      </c>
      <c r="J44">
        <v>89.68</v>
      </c>
      <c r="K44">
        <v>97.42</v>
      </c>
      <c r="L44">
        <v>85.33</v>
      </c>
      <c r="M44">
        <v>65.790000000000006</v>
      </c>
      <c r="N44">
        <v>80.11</v>
      </c>
      <c r="O44">
        <v>100.63</v>
      </c>
      <c r="P44">
        <v>66.959999999999994</v>
      </c>
      <c r="Q44">
        <v>73.33</v>
      </c>
      <c r="R44">
        <v>98.7</v>
      </c>
      <c r="S44">
        <v>87.03</v>
      </c>
      <c r="T44">
        <v>67.55</v>
      </c>
      <c r="U44">
        <v>99.51</v>
      </c>
      <c r="V44">
        <v>81.790000000000006</v>
      </c>
      <c r="W44">
        <v>96.94</v>
      </c>
      <c r="X44">
        <v>99.02</v>
      </c>
      <c r="Y44">
        <v>89.21</v>
      </c>
      <c r="Z44">
        <v>99.67</v>
      </c>
      <c r="AB44">
        <v>23</v>
      </c>
      <c r="AC44">
        <v>965</v>
      </c>
      <c r="AD44">
        <v>39</v>
      </c>
      <c r="AE44">
        <v>22.65</v>
      </c>
    </row>
    <row r="45" spans="1:31" x14ac:dyDescent="0.25">
      <c r="A45" t="s">
        <v>90</v>
      </c>
      <c r="B45">
        <v>7.8</v>
      </c>
      <c r="C45">
        <v>99.99</v>
      </c>
      <c r="D45">
        <v>98.38</v>
      </c>
      <c r="E45">
        <v>67.400000000000006</v>
      </c>
      <c r="F45">
        <v>86.41</v>
      </c>
      <c r="G45">
        <v>83.78</v>
      </c>
      <c r="H45">
        <v>100.95</v>
      </c>
      <c r="I45">
        <v>40.39</v>
      </c>
      <c r="J45">
        <v>89.83</v>
      </c>
      <c r="K45">
        <v>96.94</v>
      </c>
      <c r="L45">
        <v>84.71</v>
      </c>
      <c r="M45">
        <v>65.64</v>
      </c>
      <c r="N45">
        <v>80.260000000000005</v>
      </c>
      <c r="O45">
        <v>100.47</v>
      </c>
      <c r="P45">
        <v>66.81</v>
      </c>
      <c r="Q45">
        <v>72.88</v>
      </c>
      <c r="R45">
        <v>99.02</v>
      </c>
      <c r="S45">
        <v>86.87</v>
      </c>
      <c r="T45">
        <v>67.25</v>
      </c>
      <c r="U45">
        <v>99.51</v>
      </c>
      <c r="V45">
        <v>81.94</v>
      </c>
      <c r="W45">
        <v>96.62</v>
      </c>
      <c r="X45">
        <v>99.18</v>
      </c>
      <c r="Y45">
        <v>89.37</v>
      </c>
      <c r="Z45">
        <v>99.67</v>
      </c>
      <c r="AB45">
        <v>23</v>
      </c>
      <c r="AC45">
        <v>965</v>
      </c>
      <c r="AD45">
        <v>39</v>
      </c>
      <c r="AE45">
        <v>22.65</v>
      </c>
    </row>
    <row r="46" spans="1:31" x14ac:dyDescent="0.25">
      <c r="A46" t="s">
        <v>91</v>
      </c>
      <c r="B46">
        <v>8.0500000000000007</v>
      </c>
      <c r="C46">
        <v>100.15</v>
      </c>
      <c r="D46">
        <v>98.86</v>
      </c>
      <c r="E46">
        <v>67.11</v>
      </c>
      <c r="F46">
        <v>86.41</v>
      </c>
      <c r="G46">
        <v>83.78</v>
      </c>
      <c r="H46">
        <v>100.79</v>
      </c>
      <c r="I46">
        <v>39.58</v>
      </c>
      <c r="J46">
        <v>89.83</v>
      </c>
      <c r="K46">
        <v>97.26</v>
      </c>
      <c r="L46">
        <v>85.17</v>
      </c>
      <c r="M46">
        <v>65.489999999999995</v>
      </c>
      <c r="N46">
        <v>79.81</v>
      </c>
      <c r="O46">
        <v>100.47</v>
      </c>
      <c r="P46">
        <v>66.37</v>
      </c>
      <c r="Q46">
        <v>72.430000000000007</v>
      </c>
      <c r="R46">
        <v>98.54</v>
      </c>
      <c r="S46">
        <v>86.72</v>
      </c>
      <c r="T46">
        <v>67.11</v>
      </c>
      <c r="U46">
        <v>99.83</v>
      </c>
      <c r="V46">
        <v>81.64</v>
      </c>
      <c r="W46">
        <v>96.62</v>
      </c>
      <c r="X46">
        <v>99.34</v>
      </c>
      <c r="Y46">
        <v>89.37</v>
      </c>
      <c r="Z46">
        <v>99.83</v>
      </c>
      <c r="AB46">
        <v>23</v>
      </c>
      <c r="AC46">
        <v>965</v>
      </c>
      <c r="AD46">
        <v>39</v>
      </c>
      <c r="AE46">
        <v>22.66</v>
      </c>
    </row>
    <row r="47" spans="1:31" x14ac:dyDescent="0.25">
      <c r="A47" t="s">
        <v>92</v>
      </c>
      <c r="B47">
        <v>8.32</v>
      </c>
      <c r="C47">
        <v>99.99</v>
      </c>
      <c r="D47">
        <v>98.86</v>
      </c>
      <c r="E47">
        <v>66.959999999999994</v>
      </c>
      <c r="F47">
        <v>86.56</v>
      </c>
      <c r="G47">
        <v>83.63</v>
      </c>
      <c r="H47">
        <v>100.79</v>
      </c>
      <c r="I47">
        <v>38.76</v>
      </c>
      <c r="J47">
        <v>89.83</v>
      </c>
      <c r="K47">
        <v>97.42</v>
      </c>
      <c r="L47">
        <v>84.71</v>
      </c>
      <c r="M47">
        <v>65.06</v>
      </c>
      <c r="N47">
        <v>79.66</v>
      </c>
      <c r="O47">
        <v>100.47</v>
      </c>
      <c r="P47">
        <v>66.08</v>
      </c>
      <c r="Q47">
        <v>72.13</v>
      </c>
      <c r="R47">
        <v>98.86</v>
      </c>
      <c r="S47">
        <v>87.03</v>
      </c>
      <c r="T47">
        <v>66.959999999999994</v>
      </c>
      <c r="U47">
        <v>99.67</v>
      </c>
      <c r="V47">
        <v>81.790000000000006</v>
      </c>
      <c r="W47">
        <v>97.1</v>
      </c>
      <c r="X47">
        <v>99.67</v>
      </c>
      <c r="Y47">
        <v>89.21</v>
      </c>
      <c r="Z47">
        <v>99.99</v>
      </c>
      <c r="AB47">
        <v>23</v>
      </c>
      <c r="AC47">
        <v>965</v>
      </c>
      <c r="AD47">
        <v>39</v>
      </c>
      <c r="AE47">
        <v>22.66</v>
      </c>
    </row>
    <row r="48" spans="1:31" x14ac:dyDescent="0.25">
      <c r="A48" t="s">
        <v>93</v>
      </c>
      <c r="B48">
        <v>8.57</v>
      </c>
      <c r="C48">
        <v>100.15</v>
      </c>
      <c r="D48">
        <v>98.86</v>
      </c>
      <c r="E48">
        <v>66.67</v>
      </c>
      <c r="F48">
        <v>86.25</v>
      </c>
      <c r="G48">
        <v>83.48</v>
      </c>
      <c r="H48">
        <v>100.79</v>
      </c>
      <c r="I48">
        <v>38.630000000000003</v>
      </c>
      <c r="J48">
        <v>89.83</v>
      </c>
      <c r="K48">
        <v>96.94</v>
      </c>
      <c r="L48">
        <v>85.02</v>
      </c>
      <c r="M48">
        <v>64.760000000000005</v>
      </c>
      <c r="N48">
        <v>79.66</v>
      </c>
      <c r="O48">
        <v>100.47</v>
      </c>
      <c r="P48">
        <v>65.790000000000006</v>
      </c>
      <c r="Q48">
        <v>71.83</v>
      </c>
      <c r="R48">
        <v>98.86</v>
      </c>
      <c r="S48">
        <v>87.18</v>
      </c>
      <c r="T48">
        <v>66.67</v>
      </c>
      <c r="U48">
        <v>100.15</v>
      </c>
      <c r="V48">
        <v>81.64</v>
      </c>
      <c r="W48">
        <v>97.1</v>
      </c>
      <c r="X48">
        <v>99.18</v>
      </c>
      <c r="Y48">
        <v>89.21</v>
      </c>
      <c r="Z48">
        <v>99.67</v>
      </c>
      <c r="AB48">
        <v>23</v>
      </c>
      <c r="AC48">
        <v>965</v>
      </c>
      <c r="AD48">
        <v>39</v>
      </c>
      <c r="AE48">
        <v>22.67</v>
      </c>
    </row>
    <row r="49" spans="1:31" x14ac:dyDescent="0.25">
      <c r="A49" t="s">
        <v>94</v>
      </c>
      <c r="B49">
        <v>8.82</v>
      </c>
      <c r="C49">
        <v>99.99</v>
      </c>
      <c r="D49">
        <v>98.54</v>
      </c>
      <c r="E49">
        <v>66.23</v>
      </c>
      <c r="F49">
        <v>86.41</v>
      </c>
      <c r="G49">
        <v>83.17</v>
      </c>
      <c r="H49">
        <v>100.79</v>
      </c>
      <c r="I49">
        <v>37.82</v>
      </c>
      <c r="J49">
        <v>89.68</v>
      </c>
      <c r="K49">
        <v>96.94</v>
      </c>
      <c r="L49">
        <v>84.86</v>
      </c>
      <c r="M49">
        <v>64.760000000000005</v>
      </c>
      <c r="N49">
        <v>79.5</v>
      </c>
      <c r="O49">
        <v>100.63</v>
      </c>
      <c r="P49">
        <v>65.489999999999995</v>
      </c>
      <c r="Q49">
        <v>71.83</v>
      </c>
      <c r="R49">
        <v>98.38</v>
      </c>
      <c r="S49">
        <v>87.03</v>
      </c>
      <c r="T49">
        <v>66.81</v>
      </c>
      <c r="U49">
        <v>99.67</v>
      </c>
      <c r="V49">
        <v>81.64</v>
      </c>
      <c r="W49">
        <v>96.47</v>
      </c>
      <c r="X49">
        <v>99.18</v>
      </c>
      <c r="Y49">
        <v>89.21</v>
      </c>
      <c r="Z49">
        <v>99.67</v>
      </c>
      <c r="AB49">
        <v>23</v>
      </c>
      <c r="AC49">
        <v>965</v>
      </c>
      <c r="AD49">
        <v>39</v>
      </c>
      <c r="AE49">
        <v>22.66</v>
      </c>
    </row>
    <row r="50" spans="1:31" x14ac:dyDescent="0.25">
      <c r="A50" t="s">
        <v>95</v>
      </c>
      <c r="B50">
        <v>9.07</v>
      </c>
      <c r="C50">
        <v>99.99</v>
      </c>
      <c r="D50">
        <v>98.86</v>
      </c>
      <c r="E50">
        <v>66.08</v>
      </c>
      <c r="F50">
        <v>86.72</v>
      </c>
      <c r="G50">
        <v>83.32</v>
      </c>
      <c r="H50">
        <v>100.79</v>
      </c>
      <c r="I50">
        <v>37.28</v>
      </c>
      <c r="J50">
        <v>89.83</v>
      </c>
      <c r="K50">
        <v>97.1</v>
      </c>
      <c r="L50">
        <v>84.55</v>
      </c>
      <c r="M50">
        <v>64.760000000000005</v>
      </c>
      <c r="N50">
        <v>79.349999999999994</v>
      </c>
      <c r="O50">
        <v>100.47</v>
      </c>
      <c r="P50">
        <v>65.2</v>
      </c>
      <c r="Q50">
        <v>71.39</v>
      </c>
      <c r="R50">
        <v>98.7</v>
      </c>
      <c r="S50">
        <v>86.87</v>
      </c>
      <c r="T50">
        <v>66.23</v>
      </c>
      <c r="U50">
        <v>100.15</v>
      </c>
      <c r="V50">
        <v>81.48</v>
      </c>
      <c r="W50">
        <v>96.94</v>
      </c>
      <c r="X50">
        <v>99.02</v>
      </c>
      <c r="Y50">
        <v>89.05</v>
      </c>
      <c r="Z50">
        <v>99.83</v>
      </c>
      <c r="AB50">
        <v>23</v>
      </c>
      <c r="AC50">
        <v>965</v>
      </c>
      <c r="AD50">
        <v>39</v>
      </c>
      <c r="AE50">
        <v>22.68</v>
      </c>
    </row>
    <row r="51" spans="1:31" x14ac:dyDescent="0.25">
      <c r="A51" t="s">
        <v>96</v>
      </c>
      <c r="B51">
        <v>9.32</v>
      </c>
      <c r="C51">
        <v>99.99</v>
      </c>
      <c r="D51">
        <v>98.86</v>
      </c>
      <c r="E51">
        <v>65.489999999999995</v>
      </c>
      <c r="F51">
        <v>86.72</v>
      </c>
      <c r="G51">
        <v>83.32</v>
      </c>
      <c r="H51">
        <v>100.95</v>
      </c>
      <c r="I51">
        <v>37.28</v>
      </c>
      <c r="J51">
        <v>90.15</v>
      </c>
      <c r="K51">
        <v>97.26</v>
      </c>
      <c r="L51">
        <v>84.86</v>
      </c>
      <c r="M51">
        <v>64.180000000000007</v>
      </c>
      <c r="N51">
        <v>79.05</v>
      </c>
      <c r="O51">
        <v>100.47</v>
      </c>
      <c r="P51">
        <v>65.06</v>
      </c>
      <c r="Q51">
        <v>71.09</v>
      </c>
      <c r="R51">
        <v>98.54</v>
      </c>
      <c r="S51">
        <v>86.72</v>
      </c>
      <c r="T51">
        <v>66.37</v>
      </c>
      <c r="U51">
        <v>100.15</v>
      </c>
      <c r="V51">
        <v>81.03</v>
      </c>
      <c r="W51">
        <v>96.78</v>
      </c>
      <c r="X51">
        <v>99.67</v>
      </c>
      <c r="Y51">
        <v>88.74</v>
      </c>
      <c r="Z51">
        <v>99.99</v>
      </c>
      <c r="AB51">
        <v>23</v>
      </c>
      <c r="AC51">
        <v>965</v>
      </c>
      <c r="AD51">
        <v>39</v>
      </c>
      <c r="AE51">
        <v>22.68</v>
      </c>
    </row>
    <row r="52" spans="1:31" x14ac:dyDescent="0.25">
      <c r="A52" t="s">
        <v>97</v>
      </c>
      <c r="B52">
        <v>9.57</v>
      </c>
      <c r="C52">
        <v>99.99</v>
      </c>
      <c r="D52">
        <v>98.7</v>
      </c>
      <c r="E52">
        <v>65.349999999999994</v>
      </c>
      <c r="F52">
        <v>86.72</v>
      </c>
      <c r="G52">
        <v>83.32</v>
      </c>
      <c r="H52">
        <v>100.95</v>
      </c>
      <c r="I52">
        <v>36.869999999999997</v>
      </c>
      <c r="J52">
        <v>89.99</v>
      </c>
      <c r="K52">
        <v>97.58</v>
      </c>
      <c r="L52">
        <v>84.86</v>
      </c>
      <c r="M52">
        <v>63.89</v>
      </c>
      <c r="N52">
        <v>78.900000000000006</v>
      </c>
      <c r="O52">
        <v>100.47</v>
      </c>
      <c r="P52">
        <v>64.760000000000005</v>
      </c>
      <c r="Q52">
        <v>70.94</v>
      </c>
      <c r="R52">
        <v>98.22</v>
      </c>
      <c r="S52">
        <v>86.72</v>
      </c>
      <c r="T52">
        <v>66.23</v>
      </c>
      <c r="U52">
        <v>99.83</v>
      </c>
      <c r="V52">
        <v>81.48</v>
      </c>
      <c r="W52">
        <v>96.94</v>
      </c>
      <c r="X52">
        <v>99.67</v>
      </c>
      <c r="Y52">
        <v>89.05</v>
      </c>
      <c r="Z52">
        <v>100.15</v>
      </c>
      <c r="AB52">
        <v>23</v>
      </c>
      <c r="AC52">
        <v>965</v>
      </c>
      <c r="AD52">
        <v>39</v>
      </c>
      <c r="AE52">
        <v>22.68</v>
      </c>
    </row>
    <row r="53" spans="1:31" x14ac:dyDescent="0.25">
      <c r="A53" t="s">
        <v>98</v>
      </c>
      <c r="B53">
        <v>9.82</v>
      </c>
      <c r="C53">
        <v>99.99</v>
      </c>
      <c r="D53">
        <v>98.22</v>
      </c>
      <c r="E53">
        <v>65.2</v>
      </c>
      <c r="F53">
        <v>86.72</v>
      </c>
      <c r="G53">
        <v>82.86</v>
      </c>
      <c r="H53">
        <v>100.63</v>
      </c>
      <c r="I53">
        <v>36.6</v>
      </c>
      <c r="J53">
        <v>89.83</v>
      </c>
      <c r="K53">
        <v>97.42</v>
      </c>
      <c r="L53">
        <v>84.86</v>
      </c>
      <c r="M53">
        <v>63.75</v>
      </c>
      <c r="N53">
        <v>78.739999999999995</v>
      </c>
      <c r="O53">
        <v>100.31</v>
      </c>
      <c r="P53">
        <v>64.62</v>
      </c>
      <c r="Q53">
        <v>70.5</v>
      </c>
      <c r="R53">
        <v>98.7</v>
      </c>
      <c r="S53">
        <v>86.72</v>
      </c>
      <c r="T53">
        <v>65.930000000000007</v>
      </c>
      <c r="U53">
        <v>99.83</v>
      </c>
      <c r="V53">
        <v>80.87</v>
      </c>
      <c r="W53">
        <v>96.78</v>
      </c>
      <c r="X53">
        <v>99.18</v>
      </c>
      <c r="Y53">
        <v>88.74</v>
      </c>
      <c r="Z53">
        <v>100.31</v>
      </c>
      <c r="AB53">
        <v>23</v>
      </c>
      <c r="AC53">
        <v>965</v>
      </c>
      <c r="AD53">
        <v>39</v>
      </c>
      <c r="AE53">
        <v>22.68</v>
      </c>
    </row>
    <row r="54" spans="1:31" x14ac:dyDescent="0.25">
      <c r="A54" t="s">
        <v>99</v>
      </c>
      <c r="B54">
        <v>10.07</v>
      </c>
      <c r="C54">
        <v>99.99</v>
      </c>
      <c r="D54">
        <v>98.54</v>
      </c>
      <c r="E54">
        <v>64.760000000000005</v>
      </c>
      <c r="F54">
        <v>86.72</v>
      </c>
      <c r="G54">
        <v>83.17</v>
      </c>
      <c r="H54">
        <v>100.79</v>
      </c>
      <c r="I54">
        <v>36.200000000000003</v>
      </c>
      <c r="J54">
        <v>89.83</v>
      </c>
      <c r="K54">
        <v>97.58</v>
      </c>
      <c r="L54">
        <v>84.86</v>
      </c>
      <c r="M54">
        <v>63.6</v>
      </c>
      <c r="N54">
        <v>78.290000000000006</v>
      </c>
      <c r="O54">
        <v>100.47</v>
      </c>
      <c r="P54">
        <v>64.040000000000006</v>
      </c>
      <c r="Q54">
        <v>70.349999999999994</v>
      </c>
      <c r="R54">
        <v>98.22</v>
      </c>
      <c r="S54">
        <v>86.41</v>
      </c>
      <c r="T54">
        <v>65.790000000000006</v>
      </c>
      <c r="U54">
        <v>99.83</v>
      </c>
      <c r="V54">
        <v>80.72</v>
      </c>
      <c r="W54">
        <v>96.31</v>
      </c>
      <c r="X54">
        <v>99.67</v>
      </c>
      <c r="Y54">
        <v>88.74</v>
      </c>
      <c r="Z54">
        <v>99.83</v>
      </c>
      <c r="AB54">
        <v>23</v>
      </c>
      <c r="AC54">
        <v>965</v>
      </c>
      <c r="AD54">
        <v>39</v>
      </c>
      <c r="AE54">
        <v>22.68</v>
      </c>
    </row>
    <row r="55" spans="1:31" x14ac:dyDescent="0.25">
      <c r="A55" t="s">
        <v>100</v>
      </c>
      <c r="B55">
        <v>10.32</v>
      </c>
      <c r="C55">
        <v>100.15</v>
      </c>
      <c r="D55">
        <v>98.86</v>
      </c>
      <c r="E55">
        <v>64.180000000000007</v>
      </c>
      <c r="F55">
        <v>86.56</v>
      </c>
      <c r="G55">
        <v>83.17</v>
      </c>
      <c r="H55">
        <v>100.79</v>
      </c>
      <c r="I55">
        <v>35.659999999999997</v>
      </c>
      <c r="J55">
        <v>89.99</v>
      </c>
      <c r="K55">
        <v>97.42</v>
      </c>
      <c r="L55">
        <v>84.86</v>
      </c>
      <c r="M55">
        <v>63.45</v>
      </c>
      <c r="N55">
        <v>77.84</v>
      </c>
      <c r="O55">
        <v>100.47</v>
      </c>
      <c r="P55">
        <v>64.040000000000006</v>
      </c>
      <c r="Q55">
        <v>70.5</v>
      </c>
      <c r="R55">
        <v>98.54</v>
      </c>
      <c r="S55">
        <v>86.72</v>
      </c>
      <c r="T55">
        <v>65.64</v>
      </c>
      <c r="U55">
        <v>99.83</v>
      </c>
      <c r="V55">
        <v>80.72</v>
      </c>
      <c r="W55">
        <v>96.62</v>
      </c>
      <c r="X55">
        <v>99.34</v>
      </c>
      <c r="Y55">
        <v>88.9</v>
      </c>
      <c r="Z55">
        <v>99.99</v>
      </c>
      <c r="AB55">
        <v>23</v>
      </c>
      <c r="AC55">
        <v>965</v>
      </c>
      <c r="AD55">
        <v>39</v>
      </c>
      <c r="AE55">
        <v>22.7</v>
      </c>
    </row>
    <row r="56" spans="1:31" x14ac:dyDescent="0.25">
      <c r="A56" t="s">
        <v>101</v>
      </c>
      <c r="B56">
        <v>10.57</v>
      </c>
      <c r="C56">
        <v>99.99</v>
      </c>
      <c r="D56">
        <v>98.54</v>
      </c>
      <c r="E56">
        <v>64.180000000000007</v>
      </c>
      <c r="F56">
        <v>86.72</v>
      </c>
      <c r="G56">
        <v>82.86</v>
      </c>
      <c r="H56">
        <v>101.12</v>
      </c>
      <c r="I56">
        <v>35.39</v>
      </c>
      <c r="J56">
        <v>90.15</v>
      </c>
      <c r="K56">
        <v>97.1</v>
      </c>
      <c r="L56">
        <v>84.71</v>
      </c>
      <c r="M56">
        <v>63.02</v>
      </c>
      <c r="N56">
        <v>77.53</v>
      </c>
      <c r="O56">
        <v>100.31</v>
      </c>
      <c r="P56">
        <v>63.6</v>
      </c>
      <c r="Q56">
        <v>70.05</v>
      </c>
      <c r="R56">
        <v>98.22</v>
      </c>
      <c r="S56">
        <v>86.72</v>
      </c>
      <c r="T56">
        <v>65.930000000000007</v>
      </c>
      <c r="U56">
        <v>99.83</v>
      </c>
      <c r="V56">
        <v>80.72</v>
      </c>
      <c r="W56">
        <v>96.94</v>
      </c>
      <c r="X56">
        <v>99.18</v>
      </c>
      <c r="Y56">
        <v>88.9</v>
      </c>
      <c r="Z56">
        <v>99.51</v>
      </c>
      <c r="AB56">
        <v>23</v>
      </c>
      <c r="AC56">
        <v>965</v>
      </c>
      <c r="AD56">
        <v>39</v>
      </c>
      <c r="AE56">
        <v>22.7</v>
      </c>
    </row>
    <row r="57" spans="1:31" x14ac:dyDescent="0.25">
      <c r="A57" t="s">
        <v>102</v>
      </c>
      <c r="B57">
        <v>10.82</v>
      </c>
      <c r="C57">
        <v>100.15</v>
      </c>
      <c r="D57">
        <v>98.54</v>
      </c>
      <c r="E57">
        <v>64.040000000000006</v>
      </c>
      <c r="F57">
        <v>86.41</v>
      </c>
      <c r="G57">
        <v>82.71</v>
      </c>
      <c r="H57">
        <v>100.79</v>
      </c>
      <c r="I57">
        <v>34.590000000000003</v>
      </c>
      <c r="J57">
        <v>89.68</v>
      </c>
      <c r="K57">
        <v>97.58</v>
      </c>
      <c r="L57">
        <v>84.71</v>
      </c>
      <c r="M57">
        <v>62.73</v>
      </c>
      <c r="N57">
        <v>77.84</v>
      </c>
      <c r="O57">
        <v>100.15</v>
      </c>
      <c r="P57">
        <v>63.45</v>
      </c>
      <c r="Q57">
        <v>69.61</v>
      </c>
      <c r="R57">
        <v>98.38</v>
      </c>
      <c r="S57">
        <v>86.72</v>
      </c>
      <c r="T57">
        <v>65.489999999999995</v>
      </c>
      <c r="U57">
        <v>99.51</v>
      </c>
      <c r="V57">
        <v>80.569999999999993</v>
      </c>
      <c r="W57">
        <v>97.26</v>
      </c>
      <c r="X57">
        <v>99.67</v>
      </c>
      <c r="Y57">
        <v>88.74</v>
      </c>
      <c r="Z57">
        <v>99.67</v>
      </c>
      <c r="AB57">
        <v>23</v>
      </c>
      <c r="AC57">
        <v>965</v>
      </c>
      <c r="AD57">
        <v>39</v>
      </c>
      <c r="AE57">
        <v>22.68</v>
      </c>
    </row>
    <row r="58" spans="1:31" x14ac:dyDescent="0.25">
      <c r="A58" t="s">
        <v>103</v>
      </c>
      <c r="B58">
        <v>11.07</v>
      </c>
      <c r="C58">
        <v>99.67</v>
      </c>
      <c r="D58">
        <v>98.54</v>
      </c>
      <c r="E58">
        <v>63.6</v>
      </c>
      <c r="F58">
        <v>86.72</v>
      </c>
      <c r="G58">
        <v>82.56</v>
      </c>
      <c r="H58">
        <v>100.79</v>
      </c>
      <c r="I58">
        <v>34.049999999999997</v>
      </c>
      <c r="J58">
        <v>89.83</v>
      </c>
      <c r="K58">
        <v>97.42</v>
      </c>
      <c r="L58">
        <v>84.55</v>
      </c>
      <c r="M58">
        <v>62.73</v>
      </c>
      <c r="N58">
        <v>77.53</v>
      </c>
      <c r="O58">
        <v>100.47</v>
      </c>
      <c r="P58">
        <v>63.31</v>
      </c>
      <c r="Q58">
        <v>69.17</v>
      </c>
      <c r="R58">
        <v>98.38</v>
      </c>
      <c r="S58">
        <v>86.72</v>
      </c>
      <c r="T58">
        <v>65.64</v>
      </c>
      <c r="U58">
        <v>99.51</v>
      </c>
      <c r="V58">
        <v>80.569999999999993</v>
      </c>
      <c r="W58">
        <v>96.47</v>
      </c>
      <c r="X58">
        <v>98.86</v>
      </c>
      <c r="Y58">
        <v>88.74</v>
      </c>
      <c r="Z58">
        <v>99.83</v>
      </c>
      <c r="AB58">
        <v>23</v>
      </c>
      <c r="AC58">
        <v>965</v>
      </c>
      <c r="AD58">
        <v>39</v>
      </c>
      <c r="AE58">
        <v>22.7</v>
      </c>
    </row>
    <row r="59" spans="1:31" x14ac:dyDescent="0.25">
      <c r="A59" t="s">
        <v>104</v>
      </c>
      <c r="B59">
        <v>11.32</v>
      </c>
      <c r="C59">
        <v>99.99</v>
      </c>
      <c r="D59">
        <v>98.54</v>
      </c>
      <c r="E59">
        <v>63.31</v>
      </c>
      <c r="F59">
        <v>86.41</v>
      </c>
      <c r="G59">
        <v>82.86</v>
      </c>
      <c r="H59">
        <v>100.79</v>
      </c>
      <c r="I59">
        <v>33.39</v>
      </c>
      <c r="J59">
        <v>89.99</v>
      </c>
      <c r="K59">
        <v>97.42</v>
      </c>
      <c r="L59">
        <v>84.09</v>
      </c>
      <c r="M59">
        <v>62.44</v>
      </c>
      <c r="N59">
        <v>77.38</v>
      </c>
      <c r="O59">
        <v>100.31</v>
      </c>
      <c r="P59">
        <v>63.16</v>
      </c>
      <c r="Q59">
        <v>69.17</v>
      </c>
      <c r="R59">
        <v>98.22</v>
      </c>
      <c r="S59">
        <v>86.56</v>
      </c>
      <c r="T59">
        <v>65.489999999999995</v>
      </c>
      <c r="U59">
        <v>99.83</v>
      </c>
      <c r="V59">
        <v>80.42</v>
      </c>
      <c r="W59">
        <v>97.42</v>
      </c>
      <c r="X59">
        <v>99.51</v>
      </c>
      <c r="Y59">
        <v>88.43</v>
      </c>
      <c r="Z59">
        <v>99.83</v>
      </c>
      <c r="AB59">
        <v>23</v>
      </c>
      <c r="AC59">
        <v>965</v>
      </c>
      <c r="AD59">
        <v>39</v>
      </c>
      <c r="AE59">
        <v>22.7</v>
      </c>
    </row>
    <row r="60" spans="1:31" x14ac:dyDescent="0.25">
      <c r="A60" t="s">
        <v>105</v>
      </c>
      <c r="B60">
        <v>11.57</v>
      </c>
      <c r="C60">
        <v>99.99</v>
      </c>
      <c r="D60">
        <v>98.38</v>
      </c>
      <c r="E60">
        <v>62.87</v>
      </c>
      <c r="F60">
        <v>86.72</v>
      </c>
      <c r="G60">
        <v>82.86</v>
      </c>
      <c r="H60">
        <v>100.95</v>
      </c>
      <c r="I60">
        <v>33.119999999999997</v>
      </c>
      <c r="J60">
        <v>89.68</v>
      </c>
      <c r="K60">
        <v>97.58</v>
      </c>
      <c r="L60">
        <v>84.4</v>
      </c>
      <c r="M60">
        <v>62.29</v>
      </c>
      <c r="N60">
        <v>77.08</v>
      </c>
      <c r="O60">
        <v>100.47</v>
      </c>
      <c r="P60">
        <v>62.87</v>
      </c>
      <c r="Q60">
        <v>69.17</v>
      </c>
      <c r="R60">
        <v>98.54</v>
      </c>
      <c r="S60">
        <v>86.41</v>
      </c>
      <c r="T60">
        <v>65.2</v>
      </c>
      <c r="U60">
        <v>99.67</v>
      </c>
      <c r="V60">
        <v>80.11</v>
      </c>
      <c r="W60">
        <v>96.47</v>
      </c>
      <c r="X60">
        <v>99.34</v>
      </c>
      <c r="Y60">
        <v>88.43</v>
      </c>
      <c r="Z60">
        <v>99.99</v>
      </c>
      <c r="AB60">
        <v>23</v>
      </c>
      <c r="AC60">
        <v>965</v>
      </c>
      <c r="AD60">
        <v>39</v>
      </c>
      <c r="AE60">
        <v>22.7</v>
      </c>
    </row>
    <row r="61" spans="1:31" x14ac:dyDescent="0.25">
      <c r="A61" t="s">
        <v>106</v>
      </c>
      <c r="B61">
        <v>11.82</v>
      </c>
      <c r="C61">
        <v>99.99</v>
      </c>
      <c r="D61">
        <v>98.7</v>
      </c>
      <c r="E61">
        <v>62.87</v>
      </c>
      <c r="F61">
        <v>86.87</v>
      </c>
      <c r="G61">
        <v>82.71</v>
      </c>
      <c r="H61">
        <v>100.79</v>
      </c>
      <c r="I61">
        <v>32.590000000000003</v>
      </c>
      <c r="J61">
        <v>89.99</v>
      </c>
      <c r="K61">
        <v>97.9</v>
      </c>
      <c r="L61">
        <v>84.55</v>
      </c>
      <c r="M61">
        <v>61.72</v>
      </c>
      <c r="N61">
        <v>77.38</v>
      </c>
      <c r="O61">
        <v>100.47</v>
      </c>
      <c r="P61">
        <v>63.02</v>
      </c>
      <c r="Q61">
        <v>69.02</v>
      </c>
      <c r="R61">
        <v>98.06</v>
      </c>
      <c r="S61">
        <v>86.56</v>
      </c>
      <c r="T61">
        <v>65.349999999999994</v>
      </c>
      <c r="U61">
        <v>99.83</v>
      </c>
      <c r="V61">
        <v>80.11</v>
      </c>
      <c r="W61">
        <v>96.78</v>
      </c>
      <c r="X61">
        <v>99.67</v>
      </c>
      <c r="Y61">
        <v>88.43</v>
      </c>
      <c r="Z61">
        <v>100.15</v>
      </c>
      <c r="AB61">
        <v>23</v>
      </c>
      <c r="AC61">
        <v>965</v>
      </c>
      <c r="AD61">
        <v>39</v>
      </c>
      <c r="AE61">
        <v>22.72</v>
      </c>
    </row>
    <row r="62" spans="1:31" x14ac:dyDescent="0.25">
      <c r="A62" t="s">
        <v>107</v>
      </c>
      <c r="B62">
        <v>12.07</v>
      </c>
      <c r="C62">
        <v>99.67</v>
      </c>
      <c r="D62">
        <v>98.38</v>
      </c>
      <c r="E62">
        <v>62.29</v>
      </c>
      <c r="F62">
        <v>86.72</v>
      </c>
      <c r="G62">
        <v>82.71</v>
      </c>
      <c r="H62">
        <v>100.79</v>
      </c>
      <c r="I62">
        <v>32.19</v>
      </c>
      <c r="J62">
        <v>89.83</v>
      </c>
      <c r="K62">
        <v>97.42</v>
      </c>
      <c r="L62">
        <v>84.55</v>
      </c>
      <c r="M62">
        <v>61.86</v>
      </c>
      <c r="N62">
        <v>76.78</v>
      </c>
      <c r="O62">
        <v>100.63</v>
      </c>
      <c r="P62">
        <v>62.73</v>
      </c>
      <c r="Q62">
        <v>68.58</v>
      </c>
      <c r="R62">
        <v>98.22</v>
      </c>
      <c r="S62">
        <v>86.41</v>
      </c>
      <c r="T62">
        <v>65.2</v>
      </c>
      <c r="U62">
        <v>99.67</v>
      </c>
      <c r="V62">
        <v>80.260000000000005</v>
      </c>
      <c r="W62">
        <v>96.78</v>
      </c>
      <c r="X62">
        <v>99.67</v>
      </c>
      <c r="Y62">
        <v>88.27</v>
      </c>
      <c r="Z62">
        <v>99.83</v>
      </c>
      <c r="AB62">
        <v>23</v>
      </c>
      <c r="AC62">
        <v>965</v>
      </c>
      <c r="AD62">
        <v>39</v>
      </c>
      <c r="AE62">
        <v>22.7</v>
      </c>
    </row>
    <row r="63" spans="1:31" x14ac:dyDescent="0.25">
      <c r="A63" t="s">
        <v>108</v>
      </c>
      <c r="B63">
        <v>12.32</v>
      </c>
      <c r="C63">
        <v>99.99</v>
      </c>
      <c r="D63">
        <v>98.38</v>
      </c>
      <c r="E63">
        <v>62</v>
      </c>
      <c r="F63">
        <v>87.03</v>
      </c>
      <c r="G63">
        <v>82.56</v>
      </c>
      <c r="H63">
        <v>100.47</v>
      </c>
      <c r="I63">
        <v>31.79</v>
      </c>
      <c r="J63">
        <v>89.99</v>
      </c>
      <c r="K63">
        <v>96.94</v>
      </c>
      <c r="L63">
        <v>84.09</v>
      </c>
      <c r="M63">
        <v>61.14</v>
      </c>
      <c r="N63">
        <v>76.33</v>
      </c>
      <c r="O63">
        <v>100.63</v>
      </c>
      <c r="P63">
        <v>62.73</v>
      </c>
      <c r="Q63">
        <v>68.430000000000007</v>
      </c>
      <c r="R63">
        <v>98.06</v>
      </c>
      <c r="S63">
        <v>86.41</v>
      </c>
      <c r="T63">
        <v>65.06</v>
      </c>
      <c r="U63">
        <v>99.67</v>
      </c>
      <c r="V63">
        <v>80.260000000000005</v>
      </c>
      <c r="W63">
        <v>97.1</v>
      </c>
      <c r="X63">
        <v>99.51</v>
      </c>
      <c r="Y63">
        <v>88.43</v>
      </c>
      <c r="Z63">
        <v>99.99</v>
      </c>
      <c r="AB63">
        <v>23</v>
      </c>
      <c r="AC63">
        <v>965</v>
      </c>
      <c r="AD63">
        <v>39</v>
      </c>
      <c r="AE63">
        <v>22.72</v>
      </c>
    </row>
    <row r="64" spans="1:31" x14ac:dyDescent="0.25">
      <c r="A64" t="s">
        <v>109</v>
      </c>
      <c r="B64">
        <v>12.57</v>
      </c>
      <c r="C64">
        <v>99.83</v>
      </c>
      <c r="D64">
        <v>98.7</v>
      </c>
      <c r="E64">
        <v>61.86</v>
      </c>
      <c r="F64">
        <v>87.18</v>
      </c>
      <c r="G64">
        <v>82.56</v>
      </c>
      <c r="H64">
        <v>100.63</v>
      </c>
      <c r="I64">
        <v>31.39</v>
      </c>
      <c r="J64">
        <v>89.68</v>
      </c>
      <c r="K64">
        <v>97.42</v>
      </c>
      <c r="L64">
        <v>84.4</v>
      </c>
      <c r="M64">
        <v>60.99</v>
      </c>
      <c r="N64">
        <v>76.63</v>
      </c>
      <c r="O64">
        <v>100.47</v>
      </c>
      <c r="P64">
        <v>62.58</v>
      </c>
      <c r="Q64">
        <v>68.28</v>
      </c>
      <c r="R64">
        <v>97.9</v>
      </c>
      <c r="S64">
        <v>86.1</v>
      </c>
      <c r="T64">
        <v>64.91</v>
      </c>
      <c r="U64">
        <v>99.67</v>
      </c>
      <c r="V64">
        <v>80.11</v>
      </c>
      <c r="W64">
        <v>96.94</v>
      </c>
      <c r="X64">
        <v>99.83</v>
      </c>
      <c r="Y64">
        <v>88.12</v>
      </c>
      <c r="Z64">
        <v>99.34</v>
      </c>
      <c r="AB64">
        <v>23</v>
      </c>
      <c r="AC64">
        <v>965</v>
      </c>
      <c r="AD64">
        <v>39</v>
      </c>
      <c r="AE64">
        <v>22.72</v>
      </c>
    </row>
    <row r="65" spans="1:31" x14ac:dyDescent="0.25">
      <c r="A65" t="s">
        <v>110</v>
      </c>
      <c r="B65">
        <v>12.82</v>
      </c>
      <c r="C65">
        <v>100.31</v>
      </c>
      <c r="D65">
        <v>98.54</v>
      </c>
      <c r="E65">
        <v>61.57</v>
      </c>
      <c r="F65">
        <v>86.87</v>
      </c>
      <c r="G65">
        <v>82.25</v>
      </c>
      <c r="H65">
        <v>100.79</v>
      </c>
      <c r="I65">
        <v>31.12</v>
      </c>
      <c r="J65">
        <v>90.15</v>
      </c>
      <c r="K65">
        <v>97.58</v>
      </c>
      <c r="L65">
        <v>84.55</v>
      </c>
      <c r="M65">
        <v>60.99</v>
      </c>
      <c r="N65">
        <v>76.48</v>
      </c>
      <c r="O65">
        <v>100.79</v>
      </c>
      <c r="P65">
        <v>62.87</v>
      </c>
      <c r="Q65">
        <v>68.430000000000007</v>
      </c>
      <c r="R65">
        <v>98.22</v>
      </c>
      <c r="S65">
        <v>86.56</v>
      </c>
      <c r="T65">
        <v>64.760000000000005</v>
      </c>
      <c r="U65">
        <v>99.99</v>
      </c>
      <c r="V65">
        <v>80.11</v>
      </c>
      <c r="W65">
        <v>96.94</v>
      </c>
      <c r="X65">
        <v>99.67</v>
      </c>
      <c r="Y65">
        <v>88.12</v>
      </c>
      <c r="Z65">
        <v>99.83</v>
      </c>
      <c r="AB65">
        <v>23</v>
      </c>
      <c r="AC65">
        <v>965</v>
      </c>
      <c r="AD65">
        <v>39</v>
      </c>
      <c r="AE65">
        <v>22.74</v>
      </c>
    </row>
    <row r="66" spans="1:31" x14ac:dyDescent="0.25">
      <c r="A66" t="s">
        <v>111</v>
      </c>
      <c r="B66">
        <v>13.07</v>
      </c>
      <c r="C66">
        <v>99.99</v>
      </c>
      <c r="D66">
        <v>98.38</v>
      </c>
      <c r="E66">
        <v>61.14</v>
      </c>
      <c r="F66">
        <v>86.56</v>
      </c>
      <c r="G66">
        <v>82.4</v>
      </c>
      <c r="H66">
        <v>100.95</v>
      </c>
      <c r="I66">
        <v>30.73</v>
      </c>
      <c r="J66">
        <v>89.52</v>
      </c>
      <c r="K66">
        <v>97.26</v>
      </c>
      <c r="L66">
        <v>84.25</v>
      </c>
      <c r="M66">
        <v>60.56</v>
      </c>
      <c r="N66">
        <v>75.87</v>
      </c>
      <c r="O66">
        <v>100.63</v>
      </c>
      <c r="P66">
        <v>62.58</v>
      </c>
      <c r="Q66">
        <v>68.13</v>
      </c>
      <c r="R66">
        <v>97.9</v>
      </c>
      <c r="S66">
        <v>86.25</v>
      </c>
      <c r="T66">
        <v>64.47</v>
      </c>
      <c r="U66">
        <v>99.99</v>
      </c>
      <c r="V66">
        <v>80.11</v>
      </c>
      <c r="W66">
        <v>96.94</v>
      </c>
      <c r="X66">
        <v>99.34</v>
      </c>
      <c r="Y66">
        <v>88.43</v>
      </c>
      <c r="Z66">
        <v>99.51</v>
      </c>
      <c r="AB66">
        <v>23</v>
      </c>
      <c r="AC66">
        <v>965</v>
      </c>
      <c r="AD66">
        <v>39</v>
      </c>
      <c r="AE66">
        <v>22.73</v>
      </c>
    </row>
    <row r="67" spans="1:31" x14ac:dyDescent="0.25">
      <c r="A67" t="s">
        <v>112</v>
      </c>
      <c r="B67">
        <v>13.32</v>
      </c>
      <c r="C67">
        <v>99.83</v>
      </c>
      <c r="D67">
        <v>98.7</v>
      </c>
      <c r="E67">
        <v>61.28</v>
      </c>
      <c r="F67">
        <v>86.87</v>
      </c>
      <c r="G67">
        <v>82.4</v>
      </c>
      <c r="H67">
        <v>100.95</v>
      </c>
      <c r="I67">
        <v>30.59</v>
      </c>
      <c r="J67">
        <v>89.52</v>
      </c>
      <c r="K67">
        <v>97.42</v>
      </c>
      <c r="L67">
        <v>84.09</v>
      </c>
      <c r="M67">
        <v>60.42</v>
      </c>
      <c r="N67">
        <v>76.02</v>
      </c>
      <c r="O67">
        <v>100.79</v>
      </c>
      <c r="P67">
        <v>62.87</v>
      </c>
      <c r="Q67">
        <v>67.84</v>
      </c>
      <c r="R67">
        <v>97.9</v>
      </c>
      <c r="S67">
        <v>86.72</v>
      </c>
      <c r="T67">
        <v>64.62</v>
      </c>
      <c r="U67">
        <v>100.15</v>
      </c>
      <c r="V67">
        <v>80.260000000000005</v>
      </c>
      <c r="W67">
        <v>97.58</v>
      </c>
      <c r="X67">
        <v>99.18</v>
      </c>
      <c r="Y67">
        <v>88.43</v>
      </c>
      <c r="Z67">
        <v>99.99</v>
      </c>
      <c r="AB67">
        <v>23</v>
      </c>
      <c r="AC67">
        <v>965</v>
      </c>
      <c r="AD67">
        <v>39</v>
      </c>
      <c r="AE67">
        <v>22.74</v>
      </c>
    </row>
    <row r="68" spans="1:31" x14ac:dyDescent="0.25">
      <c r="A68" t="s">
        <v>113</v>
      </c>
      <c r="B68">
        <v>13.57</v>
      </c>
      <c r="C68">
        <v>100.15</v>
      </c>
      <c r="D68">
        <v>98.38</v>
      </c>
      <c r="E68">
        <v>60.99</v>
      </c>
      <c r="F68">
        <v>86.72</v>
      </c>
      <c r="G68">
        <v>82.4</v>
      </c>
      <c r="H68">
        <v>100.79</v>
      </c>
      <c r="I68">
        <v>30.33</v>
      </c>
      <c r="J68">
        <v>89.52</v>
      </c>
      <c r="K68">
        <v>97.74</v>
      </c>
      <c r="L68">
        <v>84.25</v>
      </c>
      <c r="M68">
        <v>59.84</v>
      </c>
      <c r="N68">
        <v>75.72</v>
      </c>
      <c r="O68">
        <v>100.47</v>
      </c>
      <c r="P68">
        <v>63.16</v>
      </c>
      <c r="Q68">
        <v>67.55</v>
      </c>
      <c r="R68">
        <v>98.22</v>
      </c>
      <c r="S68">
        <v>86.41</v>
      </c>
      <c r="T68">
        <v>64.180000000000007</v>
      </c>
      <c r="U68">
        <v>99.83</v>
      </c>
      <c r="V68">
        <v>80.260000000000005</v>
      </c>
      <c r="W68">
        <v>96.78</v>
      </c>
      <c r="X68">
        <v>99.83</v>
      </c>
      <c r="Y68">
        <v>88.12</v>
      </c>
      <c r="Z68">
        <v>99.67</v>
      </c>
      <c r="AB68">
        <v>23</v>
      </c>
      <c r="AC68">
        <v>965</v>
      </c>
      <c r="AD68">
        <v>39</v>
      </c>
      <c r="AE68">
        <v>22.74</v>
      </c>
    </row>
    <row r="69" spans="1:31" x14ac:dyDescent="0.25">
      <c r="A69" t="s">
        <v>114</v>
      </c>
      <c r="B69">
        <v>13.82</v>
      </c>
      <c r="C69">
        <v>100.15</v>
      </c>
      <c r="D69">
        <v>98.38</v>
      </c>
      <c r="E69">
        <v>60.42</v>
      </c>
      <c r="F69">
        <v>86.41</v>
      </c>
      <c r="G69">
        <v>82.1</v>
      </c>
      <c r="H69">
        <v>100.95</v>
      </c>
      <c r="I69">
        <v>29.93</v>
      </c>
      <c r="J69">
        <v>89.83</v>
      </c>
      <c r="K69">
        <v>97.42</v>
      </c>
      <c r="L69">
        <v>84.25</v>
      </c>
      <c r="M69">
        <v>59.55</v>
      </c>
      <c r="N69">
        <v>75.27</v>
      </c>
      <c r="O69">
        <v>100.15</v>
      </c>
      <c r="P69">
        <v>63.31</v>
      </c>
      <c r="Q69">
        <v>67.25</v>
      </c>
      <c r="R69">
        <v>97.9</v>
      </c>
      <c r="S69">
        <v>86.25</v>
      </c>
      <c r="T69">
        <v>63.75</v>
      </c>
      <c r="U69">
        <v>99.51</v>
      </c>
      <c r="V69">
        <v>80.260000000000005</v>
      </c>
      <c r="W69">
        <v>96.47</v>
      </c>
      <c r="X69">
        <v>99.67</v>
      </c>
      <c r="Y69">
        <v>88.12</v>
      </c>
      <c r="Z69">
        <v>99.67</v>
      </c>
      <c r="AB69">
        <v>23</v>
      </c>
      <c r="AC69">
        <v>965</v>
      </c>
      <c r="AD69">
        <v>39</v>
      </c>
      <c r="AE69">
        <v>22.74</v>
      </c>
    </row>
    <row r="70" spans="1:31" x14ac:dyDescent="0.25">
      <c r="A70" t="s">
        <v>115</v>
      </c>
      <c r="B70">
        <v>14.07</v>
      </c>
      <c r="C70">
        <v>99.99</v>
      </c>
      <c r="D70">
        <v>98.54</v>
      </c>
      <c r="E70">
        <v>60.27</v>
      </c>
      <c r="F70">
        <v>86.25</v>
      </c>
      <c r="G70">
        <v>82.1</v>
      </c>
      <c r="H70">
        <v>100.79</v>
      </c>
      <c r="I70">
        <v>29.67</v>
      </c>
      <c r="J70">
        <v>89.83</v>
      </c>
      <c r="K70">
        <v>97.42</v>
      </c>
      <c r="L70">
        <v>83.94</v>
      </c>
      <c r="M70">
        <v>59.27</v>
      </c>
      <c r="N70">
        <v>75.42</v>
      </c>
      <c r="O70">
        <v>100.31</v>
      </c>
      <c r="P70">
        <v>63.16</v>
      </c>
      <c r="Q70">
        <v>66.81</v>
      </c>
      <c r="R70">
        <v>97.74</v>
      </c>
      <c r="S70">
        <v>86.72</v>
      </c>
      <c r="T70">
        <v>63.6</v>
      </c>
      <c r="U70">
        <v>99.99</v>
      </c>
      <c r="V70">
        <v>80.11</v>
      </c>
      <c r="W70">
        <v>97.1</v>
      </c>
      <c r="X70">
        <v>99.67</v>
      </c>
      <c r="Y70">
        <v>88.12</v>
      </c>
      <c r="Z70">
        <v>99.67</v>
      </c>
      <c r="AB70">
        <v>23</v>
      </c>
      <c r="AC70">
        <v>965</v>
      </c>
      <c r="AD70">
        <v>39</v>
      </c>
      <c r="AE70">
        <v>22.74</v>
      </c>
    </row>
    <row r="71" spans="1:31" x14ac:dyDescent="0.25">
      <c r="A71" t="s">
        <v>116</v>
      </c>
      <c r="B71">
        <v>14.32</v>
      </c>
      <c r="C71">
        <v>99.99</v>
      </c>
      <c r="D71">
        <v>98.38</v>
      </c>
      <c r="E71">
        <v>59.98</v>
      </c>
      <c r="F71">
        <v>86.1</v>
      </c>
      <c r="G71">
        <v>81.790000000000006</v>
      </c>
      <c r="H71">
        <v>101.12</v>
      </c>
      <c r="I71">
        <v>29.01</v>
      </c>
      <c r="J71">
        <v>89.68</v>
      </c>
      <c r="K71">
        <v>97.42</v>
      </c>
      <c r="L71">
        <v>84.25</v>
      </c>
      <c r="M71">
        <v>58.84</v>
      </c>
      <c r="N71">
        <v>75.27</v>
      </c>
      <c r="O71">
        <v>100.15</v>
      </c>
      <c r="P71">
        <v>63.45</v>
      </c>
      <c r="Q71">
        <v>66.81</v>
      </c>
      <c r="R71">
        <v>97.74</v>
      </c>
      <c r="S71">
        <v>86.1</v>
      </c>
      <c r="T71">
        <v>63.45</v>
      </c>
      <c r="U71">
        <v>99.83</v>
      </c>
      <c r="V71">
        <v>80.11</v>
      </c>
      <c r="W71">
        <v>97.26</v>
      </c>
      <c r="X71">
        <v>99.83</v>
      </c>
      <c r="Y71">
        <v>88.27</v>
      </c>
      <c r="Z71">
        <v>99.99</v>
      </c>
      <c r="AB71">
        <v>23</v>
      </c>
      <c r="AC71">
        <v>965</v>
      </c>
      <c r="AD71">
        <v>39</v>
      </c>
      <c r="AE71">
        <v>22.74</v>
      </c>
    </row>
    <row r="72" spans="1:31" x14ac:dyDescent="0.25">
      <c r="A72" t="s">
        <v>117</v>
      </c>
      <c r="B72">
        <v>14.57</v>
      </c>
      <c r="C72">
        <v>99.99</v>
      </c>
      <c r="D72">
        <v>98.38</v>
      </c>
      <c r="E72">
        <v>59.84</v>
      </c>
      <c r="F72">
        <v>85.79</v>
      </c>
      <c r="G72">
        <v>82.1</v>
      </c>
      <c r="H72">
        <v>100.79</v>
      </c>
      <c r="I72">
        <v>29.27</v>
      </c>
      <c r="J72">
        <v>89.99</v>
      </c>
      <c r="K72">
        <v>97.42</v>
      </c>
      <c r="L72">
        <v>83.94</v>
      </c>
      <c r="M72">
        <v>58.84</v>
      </c>
      <c r="N72">
        <v>74.819999999999993</v>
      </c>
      <c r="O72">
        <v>100.15</v>
      </c>
      <c r="P72">
        <v>63.16</v>
      </c>
      <c r="Q72">
        <v>66.37</v>
      </c>
      <c r="R72">
        <v>97.9</v>
      </c>
      <c r="S72">
        <v>85.79</v>
      </c>
      <c r="T72">
        <v>63.31</v>
      </c>
      <c r="U72">
        <v>99.83</v>
      </c>
      <c r="V72">
        <v>79.959999999999994</v>
      </c>
      <c r="W72">
        <v>96.78</v>
      </c>
      <c r="X72">
        <v>99.34</v>
      </c>
      <c r="Y72">
        <v>88.12</v>
      </c>
      <c r="Z72">
        <v>99.67</v>
      </c>
      <c r="AB72">
        <v>23</v>
      </c>
      <c r="AC72">
        <v>965</v>
      </c>
      <c r="AD72">
        <v>39</v>
      </c>
      <c r="AE72">
        <v>22.75</v>
      </c>
    </row>
    <row r="73" spans="1:31" x14ac:dyDescent="0.25">
      <c r="A73" t="s">
        <v>118</v>
      </c>
      <c r="B73">
        <v>14.82</v>
      </c>
      <c r="C73">
        <v>99.99</v>
      </c>
      <c r="D73">
        <v>98.38</v>
      </c>
      <c r="E73">
        <v>59.41</v>
      </c>
      <c r="F73">
        <v>85.63</v>
      </c>
      <c r="G73">
        <v>82.1</v>
      </c>
      <c r="H73">
        <v>100.79</v>
      </c>
      <c r="I73">
        <v>28.75</v>
      </c>
      <c r="J73">
        <v>89.37</v>
      </c>
      <c r="K73">
        <v>97.58</v>
      </c>
      <c r="L73">
        <v>83.94</v>
      </c>
      <c r="M73">
        <v>58.55</v>
      </c>
      <c r="N73">
        <v>74.819999999999993</v>
      </c>
      <c r="O73">
        <v>100.63</v>
      </c>
      <c r="P73">
        <v>63.31</v>
      </c>
      <c r="Q73">
        <v>66.08</v>
      </c>
      <c r="R73">
        <v>97.42</v>
      </c>
      <c r="S73">
        <v>86.56</v>
      </c>
      <c r="T73">
        <v>63.31</v>
      </c>
      <c r="U73">
        <v>99.99</v>
      </c>
      <c r="V73">
        <v>79.959999999999994</v>
      </c>
      <c r="W73">
        <v>96.62</v>
      </c>
      <c r="X73">
        <v>99.51</v>
      </c>
      <c r="Y73">
        <v>87.96</v>
      </c>
      <c r="Z73">
        <v>99.51</v>
      </c>
      <c r="AB73">
        <v>23</v>
      </c>
      <c r="AC73">
        <v>965</v>
      </c>
      <c r="AD73">
        <v>39</v>
      </c>
      <c r="AE73">
        <v>22.75</v>
      </c>
    </row>
    <row r="74" spans="1:31" x14ac:dyDescent="0.25">
      <c r="A74" t="s">
        <v>119</v>
      </c>
      <c r="B74">
        <v>15.07</v>
      </c>
      <c r="C74">
        <v>99.99</v>
      </c>
      <c r="D74">
        <v>98.54</v>
      </c>
      <c r="E74">
        <v>58.98</v>
      </c>
      <c r="F74">
        <v>85.63</v>
      </c>
      <c r="G74">
        <v>81.48</v>
      </c>
      <c r="H74">
        <v>100.95</v>
      </c>
      <c r="I74">
        <v>28.48</v>
      </c>
      <c r="J74">
        <v>89.99</v>
      </c>
      <c r="K74">
        <v>97.58</v>
      </c>
      <c r="L74">
        <v>83.94</v>
      </c>
      <c r="M74">
        <v>58.12</v>
      </c>
      <c r="N74">
        <v>74.52</v>
      </c>
      <c r="O74">
        <v>100.31</v>
      </c>
      <c r="P74">
        <v>63.6</v>
      </c>
      <c r="Q74">
        <v>66.08</v>
      </c>
      <c r="R74">
        <v>97.58</v>
      </c>
      <c r="S74">
        <v>86.41</v>
      </c>
      <c r="T74">
        <v>62.87</v>
      </c>
      <c r="U74">
        <v>99.83</v>
      </c>
      <c r="V74">
        <v>79.81</v>
      </c>
      <c r="W74">
        <v>97.1</v>
      </c>
      <c r="X74">
        <v>99.67</v>
      </c>
      <c r="Y74">
        <v>87.96</v>
      </c>
      <c r="Z74">
        <v>99.83</v>
      </c>
      <c r="AB74">
        <v>23</v>
      </c>
      <c r="AC74">
        <v>965</v>
      </c>
      <c r="AD74">
        <v>39</v>
      </c>
      <c r="AE74">
        <v>22.74</v>
      </c>
    </row>
    <row r="75" spans="1:31" x14ac:dyDescent="0.25">
      <c r="A75" t="s">
        <v>120</v>
      </c>
      <c r="B75">
        <v>15.32</v>
      </c>
      <c r="C75">
        <v>100.15</v>
      </c>
      <c r="D75">
        <v>98.7</v>
      </c>
      <c r="E75">
        <v>58.98</v>
      </c>
      <c r="F75">
        <v>85.79</v>
      </c>
      <c r="G75">
        <v>81.64</v>
      </c>
      <c r="H75">
        <v>100.63</v>
      </c>
      <c r="I75">
        <v>28.61</v>
      </c>
      <c r="J75">
        <v>89.68</v>
      </c>
      <c r="K75">
        <v>97.74</v>
      </c>
      <c r="L75">
        <v>84.09</v>
      </c>
      <c r="M75">
        <v>58.12</v>
      </c>
      <c r="N75">
        <v>74.52</v>
      </c>
      <c r="O75">
        <v>100.63</v>
      </c>
      <c r="P75">
        <v>63.89</v>
      </c>
      <c r="Q75">
        <v>65.790000000000006</v>
      </c>
      <c r="R75">
        <v>97.74</v>
      </c>
      <c r="S75">
        <v>86.56</v>
      </c>
      <c r="T75">
        <v>62.58</v>
      </c>
      <c r="U75">
        <v>100.47</v>
      </c>
      <c r="V75">
        <v>79.81</v>
      </c>
      <c r="W75">
        <v>97.26</v>
      </c>
      <c r="X75">
        <v>99.83</v>
      </c>
      <c r="Y75">
        <v>87.81</v>
      </c>
      <c r="Z75">
        <v>99.83</v>
      </c>
      <c r="AB75">
        <v>23</v>
      </c>
      <c r="AC75">
        <v>965</v>
      </c>
      <c r="AD75">
        <v>39</v>
      </c>
      <c r="AE75">
        <v>22.74</v>
      </c>
    </row>
    <row r="76" spans="1:31" x14ac:dyDescent="0.25">
      <c r="A76" t="s">
        <v>121</v>
      </c>
      <c r="B76">
        <v>15.57</v>
      </c>
      <c r="C76">
        <v>99.99</v>
      </c>
      <c r="D76">
        <v>98.54</v>
      </c>
      <c r="E76">
        <v>58.69</v>
      </c>
      <c r="F76">
        <v>85.63</v>
      </c>
      <c r="G76">
        <v>81.64</v>
      </c>
      <c r="H76">
        <v>100.63</v>
      </c>
      <c r="I76">
        <v>28.22</v>
      </c>
      <c r="J76">
        <v>89.68</v>
      </c>
      <c r="K76">
        <v>97.58</v>
      </c>
      <c r="L76">
        <v>83.78</v>
      </c>
      <c r="M76">
        <v>57.83</v>
      </c>
      <c r="N76">
        <v>74.22</v>
      </c>
      <c r="O76">
        <v>100.31</v>
      </c>
      <c r="P76">
        <v>64.040000000000006</v>
      </c>
      <c r="Q76">
        <v>65.349999999999994</v>
      </c>
      <c r="R76">
        <v>97.74</v>
      </c>
      <c r="S76">
        <v>86.72</v>
      </c>
      <c r="T76">
        <v>62.73</v>
      </c>
      <c r="U76">
        <v>99.99</v>
      </c>
      <c r="V76">
        <v>79.66</v>
      </c>
      <c r="W76">
        <v>97.26</v>
      </c>
      <c r="X76">
        <v>99.67</v>
      </c>
      <c r="Y76">
        <v>87.96</v>
      </c>
      <c r="Z76">
        <v>99.83</v>
      </c>
      <c r="AB76">
        <v>23</v>
      </c>
      <c r="AC76">
        <v>965</v>
      </c>
      <c r="AD76">
        <v>39</v>
      </c>
      <c r="AE76">
        <v>22.75</v>
      </c>
    </row>
    <row r="77" spans="1:31" x14ac:dyDescent="0.25">
      <c r="A77" t="s">
        <v>122</v>
      </c>
      <c r="B77">
        <v>15.82</v>
      </c>
      <c r="C77">
        <v>100.15</v>
      </c>
      <c r="D77">
        <v>98.54</v>
      </c>
      <c r="E77">
        <v>58.69</v>
      </c>
      <c r="F77">
        <v>85.33</v>
      </c>
      <c r="G77">
        <v>81.48</v>
      </c>
      <c r="H77">
        <v>100.79</v>
      </c>
      <c r="I77">
        <v>28.09</v>
      </c>
      <c r="J77">
        <v>89.68</v>
      </c>
      <c r="K77">
        <v>97.58</v>
      </c>
      <c r="L77">
        <v>84.09</v>
      </c>
      <c r="M77">
        <v>57.69</v>
      </c>
      <c r="N77">
        <v>73.92</v>
      </c>
      <c r="O77">
        <v>100.63</v>
      </c>
      <c r="P77">
        <v>63.89</v>
      </c>
      <c r="Q77">
        <v>65.2</v>
      </c>
      <c r="R77">
        <v>97.58</v>
      </c>
      <c r="S77">
        <v>86.72</v>
      </c>
      <c r="T77">
        <v>62.58</v>
      </c>
      <c r="U77">
        <v>100.15</v>
      </c>
      <c r="V77">
        <v>79.66</v>
      </c>
      <c r="W77">
        <v>96.94</v>
      </c>
      <c r="X77">
        <v>99.67</v>
      </c>
      <c r="Y77">
        <v>88.12</v>
      </c>
      <c r="Z77">
        <v>99.99</v>
      </c>
      <c r="AB77">
        <v>23</v>
      </c>
      <c r="AC77">
        <v>965</v>
      </c>
      <c r="AD77">
        <v>39</v>
      </c>
      <c r="AE77">
        <v>22.77</v>
      </c>
    </row>
    <row r="78" spans="1:31" x14ac:dyDescent="0.25">
      <c r="A78" t="s">
        <v>123</v>
      </c>
      <c r="B78">
        <v>16.079999999999998</v>
      </c>
      <c r="C78">
        <v>99.83</v>
      </c>
      <c r="D78">
        <v>98.06</v>
      </c>
      <c r="E78">
        <v>58.41</v>
      </c>
      <c r="F78">
        <v>85.02</v>
      </c>
      <c r="G78">
        <v>81.33</v>
      </c>
      <c r="H78">
        <v>100.79</v>
      </c>
      <c r="I78">
        <v>27.83</v>
      </c>
      <c r="J78">
        <v>89.68</v>
      </c>
      <c r="K78">
        <v>97.58</v>
      </c>
      <c r="L78">
        <v>83.78</v>
      </c>
      <c r="M78">
        <v>57.12</v>
      </c>
      <c r="N78">
        <v>73.33</v>
      </c>
      <c r="O78">
        <v>100.47</v>
      </c>
      <c r="P78">
        <v>64.040000000000006</v>
      </c>
      <c r="Q78">
        <v>64.760000000000005</v>
      </c>
      <c r="R78">
        <v>97.74</v>
      </c>
      <c r="S78">
        <v>86.56</v>
      </c>
      <c r="T78">
        <v>62.15</v>
      </c>
      <c r="U78">
        <v>100.15</v>
      </c>
      <c r="V78">
        <v>79.66</v>
      </c>
      <c r="W78">
        <v>97.1</v>
      </c>
      <c r="X78">
        <v>99.51</v>
      </c>
      <c r="Y78">
        <v>87.81</v>
      </c>
      <c r="Z78">
        <v>99.99</v>
      </c>
      <c r="AB78">
        <v>23</v>
      </c>
      <c r="AC78">
        <v>965</v>
      </c>
      <c r="AD78">
        <v>39</v>
      </c>
      <c r="AE78">
        <v>22.75</v>
      </c>
    </row>
    <row r="79" spans="1:31" x14ac:dyDescent="0.25">
      <c r="A79" t="s">
        <v>124</v>
      </c>
      <c r="B79">
        <v>16.329999999999998</v>
      </c>
      <c r="C79">
        <v>100.15</v>
      </c>
      <c r="D79">
        <v>98.22</v>
      </c>
      <c r="E79">
        <v>57.98</v>
      </c>
      <c r="F79">
        <v>84.71</v>
      </c>
      <c r="G79">
        <v>81.03</v>
      </c>
      <c r="H79">
        <v>100.79</v>
      </c>
      <c r="I79">
        <v>27.43</v>
      </c>
      <c r="J79">
        <v>89.68</v>
      </c>
      <c r="K79">
        <v>97.74</v>
      </c>
      <c r="L79">
        <v>84.25</v>
      </c>
      <c r="M79">
        <v>56.98</v>
      </c>
      <c r="N79">
        <v>73.180000000000007</v>
      </c>
      <c r="O79">
        <v>100.31</v>
      </c>
      <c r="P79">
        <v>64.33</v>
      </c>
      <c r="Q79">
        <v>64.180000000000007</v>
      </c>
      <c r="R79">
        <v>97.74</v>
      </c>
      <c r="S79">
        <v>87.03</v>
      </c>
      <c r="T79">
        <v>61.86</v>
      </c>
      <c r="U79">
        <v>99.99</v>
      </c>
      <c r="V79">
        <v>79.81</v>
      </c>
      <c r="W79">
        <v>96.78</v>
      </c>
      <c r="X79">
        <v>99.67</v>
      </c>
      <c r="Y79">
        <v>87.96</v>
      </c>
      <c r="Z79">
        <v>99.99</v>
      </c>
      <c r="AB79">
        <v>23</v>
      </c>
      <c r="AC79">
        <v>965</v>
      </c>
      <c r="AD79">
        <v>39</v>
      </c>
      <c r="AE79">
        <v>22.75</v>
      </c>
    </row>
    <row r="80" spans="1:31" x14ac:dyDescent="0.25">
      <c r="A80" t="s">
        <v>125</v>
      </c>
      <c r="B80">
        <v>16.579999999999998</v>
      </c>
      <c r="C80">
        <v>99.83</v>
      </c>
      <c r="D80">
        <v>98.38</v>
      </c>
      <c r="E80">
        <v>57.98</v>
      </c>
      <c r="F80">
        <v>84.86</v>
      </c>
      <c r="G80">
        <v>81.03</v>
      </c>
      <c r="H80">
        <v>100.47</v>
      </c>
      <c r="I80">
        <v>27.43</v>
      </c>
      <c r="J80">
        <v>89.52</v>
      </c>
      <c r="K80">
        <v>97.42</v>
      </c>
      <c r="L80">
        <v>83.78</v>
      </c>
      <c r="M80">
        <v>56.69</v>
      </c>
      <c r="N80">
        <v>73.03</v>
      </c>
      <c r="O80">
        <v>100.47</v>
      </c>
      <c r="P80">
        <v>64.47</v>
      </c>
      <c r="Q80">
        <v>63.75</v>
      </c>
      <c r="R80">
        <v>97.74</v>
      </c>
      <c r="S80">
        <v>86.56</v>
      </c>
      <c r="T80">
        <v>61.86</v>
      </c>
      <c r="U80">
        <v>99.83</v>
      </c>
      <c r="V80">
        <v>79.66</v>
      </c>
      <c r="W80">
        <v>97.26</v>
      </c>
      <c r="X80">
        <v>99.67</v>
      </c>
      <c r="Y80">
        <v>87.65</v>
      </c>
      <c r="Z80">
        <v>99.83</v>
      </c>
      <c r="AB80">
        <v>23</v>
      </c>
      <c r="AC80">
        <v>965</v>
      </c>
      <c r="AD80">
        <v>39</v>
      </c>
      <c r="AE80">
        <v>22.75</v>
      </c>
    </row>
    <row r="83" spans="2:26" x14ac:dyDescent="0.25">
      <c r="B83">
        <f>B14</f>
        <v>0.03</v>
      </c>
      <c r="C83">
        <f>(((($AC14-EXP(52.57-6690.9/(273.15+$AE14)-4.681*LN(273.15+$AE14)))/1013)*C14/100*0.2095*(48.998-1.335*$AE14+0.02755*POWER($AE14,2)-0.000322*POWER($AE14,3)+0.000001598*POWER($AE14,4))*32/22.414))*31.25</f>
        <v>256.98480401612852</v>
      </c>
      <c r="D83">
        <f t="shared" ref="D83:Z83" si="0">(((($AC14-EXP(52.57-6690.9/(273.15+$AE14)-4.681*LN(273.15+$AE14)))/1013)*D14/100*0.2095*(48.998-1.335*$AE14+0.02755*POWER($AE14,2)-0.000322*POWER($AE14,3)+0.000001598*POWER($AE14,4))*32/22.414))*31.25</f>
        <v>253.25815169266224</v>
      </c>
      <c r="E83">
        <f t="shared" si="0"/>
        <v>205.1200840936815</v>
      </c>
      <c r="F83">
        <f t="shared" si="0"/>
        <v>237.34920142903755</v>
      </c>
      <c r="G83">
        <f t="shared" si="0"/>
        <v>226.47765706471893</v>
      </c>
      <c r="H83">
        <f t="shared" si="0"/>
        <v>259.04088805666152</v>
      </c>
      <c r="I83">
        <f t="shared" si="0"/>
        <v>153.79508623187445</v>
      </c>
      <c r="J83">
        <f t="shared" si="0"/>
        <v>230.48702094375838</v>
      </c>
      <c r="K83">
        <f t="shared" si="0"/>
        <v>249.14598361159611</v>
      </c>
      <c r="L83">
        <f t="shared" si="0"/>
        <v>222.46829318567939</v>
      </c>
      <c r="M83">
        <f t="shared" si="0"/>
        <v>191.52422837565649</v>
      </c>
      <c r="N83">
        <f t="shared" si="0"/>
        <v>216.53135051864012</v>
      </c>
      <c r="O83">
        <f t="shared" si="0"/>
        <v>256.57358720802188</v>
      </c>
      <c r="P83">
        <f t="shared" si="0"/>
        <v>199.64576033576219</v>
      </c>
      <c r="Q83">
        <f t="shared" si="0"/>
        <v>207.84439544738785</v>
      </c>
      <c r="R83">
        <f t="shared" si="0"/>
        <v>259.04088805666152</v>
      </c>
      <c r="S83">
        <f t="shared" si="0"/>
        <v>236.11555100471773</v>
      </c>
      <c r="T83">
        <f t="shared" si="0"/>
        <v>203.552320012775</v>
      </c>
      <c r="U83">
        <f t="shared" si="0"/>
        <v>257.39602082423505</v>
      </c>
      <c r="V83">
        <f t="shared" si="0"/>
        <v>214.55236962962701</v>
      </c>
      <c r="W83">
        <f t="shared" si="0"/>
        <v>248.3235499953829</v>
      </c>
      <c r="X83">
        <f t="shared" si="0"/>
        <v>254.49180211698209</v>
      </c>
      <c r="Y83">
        <f t="shared" si="0"/>
        <v>232.08048607517145</v>
      </c>
      <c r="Z83">
        <f t="shared" si="0"/>
        <v>257.8072376323417</v>
      </c>
    </row>
    <row r="84" spans="2:26" x14ac:dyDescent="0.25">
      <c r="B84">
        <f t="shared" ref="B84:B147" si="1">B15</f>
        <v>0.28000000000000003</v>
      </c>
      <c r="C84">
        <f t="shared" ref="C84:Z84" si="2">(((($AC15-EXP(52.57-6690.9/(273.15+$AE15)-4.681*LN(273.15+$AE15)))/1013)*C15/100*0.2095*(48.998-1.335*$AE15+0.02755*POWER($AE15,2)-0.000322*POWER($AE15,3)+0.000001598*POWER($AE15,4))*32/22.414))*31.25</f>
        <v>256.88691413210324</v>
      </c>
      <c r="D84">
        <f t="shared" si="2"/>
        <v>253.16168135390998</v>
      </c>
      <c r="E84">
        <f t="shared" si="2"/>
        <v>203.08941456288389</v>
      </c>
      <c r="F84">
        <f t="shared" si="2"/>
        <v>237.25879108010534</v>
      </c>
      <c r="G84">
        <f t="shared" si="2"/>
        <v>225.59495879527938</v>
      </c>
      <c r="H84">
        <f t="shared" si="2"/>
        <v>258.53115480661614</v>
      </c>
      <c r="I84">
        <f t="shared" si="2"/>
        <v>153.73650306695731</v>
      </c>
      <c r="J84">
        <f t="shared" si="2"/>
        <v>229.60279543940462</v>
      </c>
      <c r="K84">
        <f t="shared" si="2"/>
        <v>249.46213983625589</v>
      </c>
      <c r="L84">
        <f t="shared" si="2"/>
        <v>221.99818231978236</v>
      </c>
      <c r="M84">
        <f t="shared" si="2"/>
        <v>188.39401353442472</v>
      </c>
      <c r="N84">
        <f t="shared" si="2"/>
        <v>215.24138079795591</v>
      </c>
      <c r="O84">
        <f t="shared" si="2"/>
        <v>256.88691413210324</v>
      </c>
      <c r="P84">
        <f t="shared" si="2"/>
        <v>198.02823623664884</v>
      </c>
      <c r="Q84">
        <f t="shared" si="2"/>
        <v>206.99448616485208</v>
      </c>
      <c r="R84">
        <f t="shared" si="2"/>
        <v>258.1200946379879</v>
      </c>
      <c r="S84">
        <f t="shared" si="2"/>
        <v>234.02169225215806</v>
      </c>
      <c r="T84">
        <f t="shared" si="2"/>
        <v>201.90761657807775</v>
      </c>
      <c r="U84">
        <f t="shared" si="2"/>
        <v>256.47585396347506</v>
      </c>
      <c r="V84">
        <f t="shared" si="2"/>
        <v>214.47064298177801</v>
      </c>
      <c r="W84">
        <f t="shared" si="2"/>
        <v>249.05107966762762</v>
      </c>
      <c r="X84">
        <f t="shared" si="2"/>
        <v>254.80592202842283</v>
      </c>
      <c r="Y84">
        <f t="shared" si="2"/>
        <v>231.60671376146718</v>
      </c>
      <c r="Z84">
        <f t="shared" si="2"/>
        <v>257.70903446935966</v>
      </c>
    </row>
    <row r="85" spans="2:26" x14ac:dyDescent="0.25">
      <c r="B85">
        <f t="shared" si="1"/>
        <v>0.53</v>
      </c>
      <c r="C85">
        <f t="shared" ref="C85:Z85" si="3">(((($AC16-EXP(52.57-6690.9/(273.15+$AE16)-4.681*LN(273.15+$AE16)))/1013)*C16/100*0.2095*(48.998-1.335*$AE16+0.02755*POWER($AE16,2)-0.000322*POWER($AE16,3)+0.000001598*POWER($AE16,4))*32/22.414))*31.25</f>
        <v>256.83799574109486</v>
      </c>
      <c r="D85">
        <f t="shared" si="3"/>
        <v>253.11347235050991</v>
      </c>
      <c r="E85">
        <f t="shared" si="3"/>
        <v>201.48387224653942</v>
      </c>
      <c r="F85">
        <f t="shared" si="3"/>
        <v>237.59890595110781</v>
      </c>
      <c r="G85">
        <f t="shared" si="3"/>
        <v>225.55199926018136</v>
      </c>
      <c r="H85">
        <f t="shared" si="3"/>
        <v>258.07094141521952</v>
      </c>
      <c r="I85">
        <f t="shared" si="3"/>
        <v>151.13859055311548</v>
      </c>
      <c r="J85">
        <f t="shared" si="3"/>
        <v>229.14809080971162</v>
      </c>
      <c r="K85">
        <f t="shared" si="3"/>
        <v>249.41463532813592</v>
      </c>
      <c r="L85">
        <f t="shared" si="3"/>
        <v>222.34120323381507</v>
      </c>
      <c r="M85">
        <f t="shared" si="3"/>
        <v>189.48833829203485</v>
      </c>
      <c r="N85">
        <f t="shared" si="3"/>
        <v>214.42980182484848</v>
      </c>
      <c r="O85">
        <f t="shared" si="3"/>
        <v>257.24897763246975</v>
      </c>
      <c r="P85">
        <f t="shared" si="3"/>
        <v>197.60523064668897</v>
      </c>
      <c r="Q85">
        <f t="shared" si="3"/>
        <v>207.34036419863162</v>
      </c>
      <c r="R85">
        <f t="shared" si="3"/>
        <v>257.65995952384458</v>
      </c>
      <c r="S85">
        <f t="shared" si="3"/>
        <v>234.36242355653053</v>
      </c>
      <c r="T85">
        <f t="shared" si="3"/>
        <v>201.86916776970344</v>
      </c>
      <c r="U85">
        <f t="shared" si="3"/>
        <v>256.83799574109486</v>
      </c>
      <c r="V85">
        <f t="shared" si="3"/>
        <v>214.42980182484848</v>
      </c>
      <c r="W85">
        <f t="shared" si="3"/>
        <v>249.41463532813592</v>
      </c>
      <c r="X85">
        <f t="shared" si="3"/>
        <v>254.34641802463454</v>
      </c>
      <c r="Y85">
        <f t="shared" si="3"/>
        <v>232.76986872745289</v>
      </c>
      <c r="Z85">
        <f t="shared" si="3"/>
        <v>258.07094141521952</v>
      </c>
    </row>
    <row r="86" spans="2:26" x14ac:dyDescent="0.25">
      <c r="B86">
        <f t="shared" si="1"/>
        <v>0.78</v>
      </c>
      <c r="C86">
        <f t="shared" ref="C86:Z86" si="4">(((($AC17-EXP(52.57-6690.9/(273.15+$AE17)-4.681*LN(273.15+$AE17)))/1013)*C17/100*0.2095*(48.998-1.335*$AE17+0.02755*POWER($AE17,2)-0.000322*POWER($AE17,3)+0.000001598*POWER($AE17,4))*32/22.414))*31.25</f>
        <v>256.32938658890669</v>
      </c>
      <c r="D86">
        <f t="shared" si="4"/>
        <v>252.60628120421353</v>
      </c>
      <c r="E86">
        <f t="shared" si="4"/>
        <v>201.02201418456883</v>
      </c>
      <c r="F86">
        <f t="shared" si="4"/>
        <v>235.09484760172595</v>
      </c>
      <c r="G86">
        <f t="shared" si="4"/>
        <v>225.05530135748444</v>
      </c>
      <c r="H86">
        <f t="shared" si="4"/>
        <v>257.97268827594365</v>
      </c>
      <c r="I86">
        <f t="shared" si="4"/>
        <v>151.08104885196104</v>
      </c>
      <c r="J86">
        <f t="shared" si="4"/>
        <v>229.47167464139628</v>
      </c>
      <c r="K86">
        <f t="shared" si="4"/>
        <v>248.90885240838037</v>
      </c>
      <c r="L86">
        <f t="shared" si="4"/>
        <v>221.87140433885037</v>
      </c>
      <c r="M86">
        <f t="shared" si="4"/>
        <v>185.97553311263664</v>
      </c>
      <c r="N86">
        <f t="shared" si="4"/>
        <v>214.34816380288424</v>
      </c>
      <c r="O86">
        <f t="shared" si="4"/>
        <v>256.74021201066597</v>
      </c>
      <c r="P86">
        <f t="shared" si="4"/>
        <v>196.37455160091741</v>
      </c>
      <c r="Q86">
        <f t="shared" si="4"/>
        <v>206.49112761173876</v>
      </c>
      <c r="R86">
        <f t="shared" si="4"/>
        <v>257.97268827594365</v>
      </c>
      <c r="S86">
        <f t="shared" si="4"/>
        <v>233.47722250354892</v>
      </c>
      <c r="T86">
        <f t="shared" si="4"/>
        <v>199.07059343121239</v>
      </c>
      <c r="U86">
        <f t="shared" si="4"/>
        <v>255.50773574538826</v>
      </c>
      <c r="V86">
        <f t="shared" si="4"/>
        <v>214.73331263578351</v>
      </c>
      <c r="W86">
        <f t="shared" si="4"/>
        <v>247.2912273102034</v>
      </c>
      <c r="X86">
        <f t="shared" si="4"/>
        <v>254.2495828912505</v>
      </c>
      <c r="Y86">
        <f t="shared" si="4"/>
        <v>231.85959740537189</v>
      </c>
      <c r="Z86">
        <f t="shared" si="4"/>
        <v>256.74021201066597</v>
      </c>
    </row>
    <row r="87" spans="2:26" x14ac:dyDescent="0.25">
      <c r="B87">
        <f t="shared" si="1"/>
        <v>1.03</v>
      </c>
      <c r="C87">
        <f t="shared" ref="C87:Z87" si="5">(((($AC18-EXP(52.57-6690.9/(273.15+$AE18)-4.681*LN(273.15+$AE18)))/1013)*C18/100*0.2095*(48.998-1.335*$AE18+0.02755*POWER($AE18,2)-0.000322*POWER($AE18,3)+0.000001598*POWER($AE18,4))*32/22.414))*31.25</f>
        <v>256.18307796350859</v>
      </c>
      <c r="D87">
        <f t="shared" si="5"/>
        <v>253.28327952517583</v>
      </c>
      <c r="E87">
        <f t="shared" si="5"/>
        <v>198.95696718933013</v>
      </c>
      <c r="F87">
        <f t="shared" si="5"/>
        <v>234.96065930420571</v>
      </c>
      <c r="G87">
        <f t="shared" si="5"/>
        <v>224.92684346891249</v>
      </c>
      <c r="H87">
        <f t="shared" si="5"/>
        <v>258.64662353943748</v>
      </c>
      <c r="I87">
        <f t="shared" si="5"/>
        <v>148.78788801286416</v>
      </c>
      <c r="J87">
        <f t="shared" si="5"/>
        <v>229.72562495535703</v>
      </c>
      <c r="K87">
        <f t="shared" si="5"/>
        <v>248.76677930263978</v>
      </c>
      <c r="L87">
        <f t="shared" si="5"/>
        <v>221.74476376667113</v>
      </c>
      <c r="M87">
        <f t="shared" si="5"/>
        <v>186.25431031344743</v>
      </c>
      <c r="N87">
        <f t="shared" si="5"/>
        <v>213.8152264441504</v>
      </c>
      <c r="O87">
        <f t="shared" si="5"/>
        <v>257.0042598221516</v>
      </c>
      <c r="P87">
        <f t="shared" si="5"/>
        <v>195.46694429009773</v>
      </c>
      <c r="Q87">
        <f t="shared" si="5"/>
        <v>204.80788793216092</v>
      </c>
      <c r="R87">
        <f t="shared" si="5"/>
        <v>257.0042598221516</v>
      </c>
      <c r="S87">
        <f t="shared" si="5"/>
        <v>234.13947744556273</v>
      </c>
      <c r="T87">
        <f t="shared" si="5"/>
        <v>197.80218020061352</v>
      </c>
      <c r="U87">
        <f t="shared" si="5"/>
        <v>256.18307796350859</v>
      </c>
      <c r="V87">
        <f t="shared" si="5"/>
        <v>214.22581737347193</v>
      </c>
      <c r="W87">
        <f t="shared" si="5"/>
        <v>248.35618837331833</v>
      </c>
      <c r="X87">
        <f t="shared" si="5"/>
        <v>254.51505231314019</v>
      </c>
      <c r="Y87">
        <f t="shared" si="5"/>
        <v>231.7272557357991</v>
      </c>
      <c r="Z87">
        <f t="shared" si="5"/>
        <v>257.0042598221516</v>
      </c>
    </row>
    <row r="88" spans="2:26" x14ac:dyDescent="0.25">
      <c r="B88">
        <f t="shared" si="1"/>
        <v>1.28</v>
      </c>
      <c r="C88">
        <f t="shared" ref="C88:Z88" si="6">(((($AC19-EXP(52.57-6690.9/(273.15+$AE19)-4.681*LN(273.15+$AE19)))/1013)*C19/100*0.2095*(48.998-1.335*$AE19+0.02755*POWER($AE19,2)-0.000322*POWER($AE19,3)+0.000001598*POWER($AE19,4))*32/22.414))*31.25</f>
        <v>256.54485647401316</v>
      </c>
      <c r="D88">
        <f t="shared" si="6"/>
        <v>253.23509684953598</v>
      </c>
      <c r="E88">
        <f t="shared" si="6"/>
        <v>198.14940759563999</v>
      </c>
      <c r="F88">
        <f t="shared" si="6"/>
        <v>234.50544936218429</v>
      </c>
      <c r="G88">
        <f t="shared" si="6"/>
        <v>224.08868651305445</v>
      </c>
      <c r="H88">
        <f t="shared" si="6"/>
        <v>259.00793340385667</v>
      </c>
      <c r="I88">
        <f t="shared" si="6"/>
        <v>148.01552925278347</v>
      </c>
      <c r="J88">
        <f t="shared" si="6"/>
        <v>228.88655511597872</v>
      </c>
      <c r="K88">
        <f t="shared" si="6"/>
        <v>248.7194558114895</v>
      </c>
      <c r="L88">
        <f t="shared" si="6"/>
        <v>222.08743650755656</v>
      </c>
      <c r="M88">
        <f t="shared" si="6"/>
        <v>184.67945563555827</v>
      </c>
      <c r="N88">
        <f t="shared" si="6"/>
        <v>213.38969609904669</v>
      </c>
      <c r="O88">
        <f t="shared" si="6"/>
        <v>257.36588211729435</v>
      </c>
      <c r="P88">
        <f t="shared" si="6"/>
        <v>195.84027297391162</v>
      </c>
      <c r="Q88">
        <f t="shared" si="6"/>
        <v>203.97355825266575</v>
      </c>
      <c r="R88">
        <f t="shared" si="6"/>
        <v>256.95536929565384</v>
      </c>
      <c r="S88">
        <f t="shared" si="6"/>
        <v>232.88905512697448</v>
      </c>
      <c r="T88">
        <f t="shared" si="6"/>
        <v>196.99484028477579</v>
      </c>
      <c r="U88">
        <f t="shared" si="6"/>
        <v>256.13434365237259</v>
      </c>
      <c r="V88">
        <f t="shared" si="6"/>
        <v>214.18506469097531</v>
      </c>
      <c r="W88">
        <f t="shared" si="6"/>
        <v>249.12996863313009</v>
      </c>
      <c r="X88">
        <f t="shared" si="6"/>
        <v>254.8771481360983</v>
      </c>
      <c r="Y88">
        <f t="shared" si="6"/>
        <v>232.09368653504583</v>
      </c>
      <c r="Z88">
        <f t="shared" si="6"/>
        <v>256.54485647401316</v>
      </c>
    </row>
    <row r="89" spans="2:26" x14ac:dyDescent="0.25">
      <c r="B89">
        <f t="shared" si="1"/>
        <v>1.53</v>
      </c>
      <c r="C89">
        <f t="shared" ref="C89:Z89" si="7">(((($AC20-EXP(52.57-6690.9/(273.15+$AE20)-4.681*LN(273.15+$AE20)))/1013)*C20/100*0.2095*(48.998-1.335*$AE20+0.02755*POWER($AE20,2)-0.000322*POWER($AE20,3)+0.000001598*POWER($AE20,4))*32/22.414))*31.25</f>
        <v>256.54485647401316</v>
      </c>
      <c r="D89">
        <f t="shared" si="7"/>
        <v>253.23509684953598</v>
      </c>
      <c r="E89">
        <f t="shared" si="7"/>
        <v>197.37969605506387</v>
      </c>
      <c r="F89">
        <f t="shared" si="7"/>
        <v>234.0949365405437</v>
      </c>
      <c r="G89">
        <f t="shared" si="7"/>
        <v>224.49919933469496</v>
      </c>
      <c r="H89">
        <f t="shared" si="7"/>
        <v>258.59742058221616</v>
      </c>
      <c r="I89">
        <f t="shared" si="7"/>
        <v>146.19387860675337</v>
      </c>
      <c r="J89">
        <f t="shared" si="7"/>
        <v>228.47604229433816</v>
      </c>
      <c r="K89">
        <f t="shared" si="7"/>
        <v>248.7194558114895</v>
      </c>
      <c r="L89">
        <f t="shared" si="7"/>
        <v>221.70258073726851</v>
      </c>
      <c r="M89">
        <f t="shared" si="7"/>
        <v>184.67945563555827</v>
      </c>
      <c r="N89">
        <f t="shared" si="7"/>
        <v>212.59432750711801</v>
      </c>
      <c r="O89">
        <f t="shared" si="7"/>
        <v>257.36588211729435</v>
      </c>
      <c r="P89">
        <f t="shared" si="7"/>
        <v>194.66004861169498</v>
      </c>
      <c r="Q89">
        <f t="shared" si="7"/>
        <v>203.20384671208967</v>
      </c>
      <c r="R89">
        <f t="shared" si="7"/>
        <v>256.95536929565384</v>
      </c>
      <c r="S89">
        <f t="shared" si="7"/>
        <v>232.88905512697448</v>
      </c>
      <c r="T89">
        <f t="shared" si="7"/>
        <v>195.42976015227109</v>
      </c>
      <c r="U89">
        <f t="shared" si="7"/>
        <v>256.54485647401316</v>
      </c>
      <c r="V89">
        <f t="shared" si="7"/>
        <v>213.38969609904669</v>
      </c>
      <c r="W89">
        <f t="shared" si="7"/>
        <v>249.12996863313009</v>
      </c>
      <c r="X89">
        <f t="shared" si="7"/>
        <v>253.64560967117654</v>
      </c>
      <c r="Y89">
        <f t="shared" si="7"/>
        <v>231.29831794311721</v>
      </c>
      <c r="Z89">
        <f t="shared" si="7"/>
        <v>256.54485647401316</v>
      </c>
    </row>
    <row r="90" spans="2:26" x14ac:dyDescent="0.25">
      <c r="B90">
        <f t="shared" si="1"/>
        <v>1.78</v>
      </c>
      <c r="C90">
        <f t="shared" ref="C90:Z90" si="8">(((($AC21-EXP(52.57-6690.9/(273.15+$AE21)-4.681*LN(273.15+$AE21)))/1013)*C21/100*0.2095*(48.998-1.335*$AE21+0.02755*POWER($AE21,2)-0.000322*POWER($AE21,3)+0.000001598*POWER($AE21,4))*32/22.414))*31.25</f>
        <v>256.54485647401316</v>
      </c>
      <c r="D90">
        <f t="shared" si="8"/>
        <v>253.23509684953598</v>
      </c>
      <c r="E90">
        <f t="shared" si="8"/>
        <v>195.42976015227109</v>
      </c>
      <c r="F90">
        <f t="shared" si="8"/>
        <v>232.50419935668643</v>
      </c>
      <c r="G90">
        <f t="shared" si="8"/>
        <v>222.88280509948521</v>
      </c>
      <c r="H90">
        <f t="shared" si="8"/>
        <v>258.59742058221616</v>
      </c>
      <c r="I90">
        <f t="shared" si="8"/>
        <v>144.7314266796588</v>
      </c>
      <c r="J90">
        <f t="shared" si="8"/>
        <v>228.47604229433816</v>
      </c>
      <c r="K90">
        <f t="shared" si="8"/>
        <v>249.12996863313009</v>
      </c>
      <c r="L90">
        <f t="shared" si="8"/>
        <v>221.70258073726851</v>
      </c>
      <c r="M90">
        <f t="shared" si="8"/>
        <v>183.55054537604667</v>
      </c>
      <c r="N90">
        <f t="shared" si="8"/>
        <v>212.59432750711801</v>
      </c>
      <c r="O90">
        <f t="shared" si="8"/>
        <v>257.77639493893497</v>
      </c>
      <c r="P90">
        <f t="shared" si="8"/>
        <v>193.50548130083084</v>
      </c>
      <c r="Q90">
        <f t="shared" si="8"/>
        <v>202.43413517151359</v>
      </c>
      <c r="R90">
        <f t="shared" si="8"/>
        <v>256.54485647401316</v>
      </c>
      <c r="S90">
        <f t="shared" si="8"/>
        <v>231.68317371340527</v>
      </c>
      <c r="T90">
        <f t="shared" si="8"/>
        <v>194.27519284140686</v>
      </c>
      <c r="U90">
        <f t="shared" si="8"/>
        <v>255.72383083073203</v>
      </c>
      <c r="V90">
        <f t="shared" si="8"/>
        <v>213.77455186933469</v>
      </c>
      <c r="W90">
        <f t="shared" si="8"/>
        <v>248.30894298984896</v>
      </c>
      <c r="X90">
        <f t="shared" si="8"/>
        <v>253.64560967117654</v>
      </c>
      <c r="Y90">
        <f t="shared" si="8"/>
        <v>230.88780512147659</v>
      </c>
      <c r="Z90">
        <f t="shared" si="8"/>
        <v>256.54485647401316</v>
      </c>
    </row>
    <row r="91" spans="2:26" x14ac:dyDescent="0.25">
      <c r="B91">
        <f t="shared" si="1"/>
        <v>2.0299999999999998</v>
      </c>
      <c r="C91">
        <f t="shared" ref="C91:Z91" si="9">(((($AC22-EXP(52.57-6690.9/(273.15+$AE22)-4.681*LN(273.15+$AE22)))/1013)*C22/100*0.2095*(48.998-1.335*$AE22+0.02755*POWER($AE22,2)-0.000322*POWER($AE22,3)+0.000001598*POWER($AE22,4))*32/22.414))*31.25</f>
        <v>256.13434365237259</v>
      </c>
      <c r="D91">
        <f t="shared" si="9"/>
        <v>252.00355838461419</v>
      </c>
      <c r="E91">
        <f t="shared" si="9"/>
        <v>195.04490438198303</v>
      </c>
      <c r="F91">
        <f t="shared" si="9"/>
        <v>231.68317371340527</v>
      </c>
      <c r="G91">
        <f t="shared" si="9"/>
        <v>222.88280509948521</v>
      </c>
      <c r="H91">
        <f t="shared" si="9"/>
        <v>259.00793340385667</v>
      </c>
      <c r="I91">
        <f t="shared" si="9"/>
        <v>143.62817347149974</v>
      </c>
      <c r="J91">
        <f t="shared" si="9"/>
        <v>228.09118652405016</v>
      </c>
      <c r="K91">
        <f t="shared" si="9"/>
        <v>248.7194558114895</v>
      </c>
      <c r="L91">
        <f t="shared" si="9"/>
        <v>221.29206791562794</v>
      </c>
      <c r="M91">
        <f t="shared" si="9"/>
        <v>182.78083383547056</v>
      </c>
      <c r="N91">
        <f t="shared" si="9"/>
        <v>211.41410314490136</v>
      </c>
      <c r="O91">
        <f t="shared" si="9"/>
        <v>256.95536929565384</v>
      </c>
      <c r="P91">
        <f t="shared" si="9"/>
        <v>192.73576976025475</v>
      </c>
      <c r="Q91">
        <f t="shared" si="9"/>
        <v>202.43413517151359</v>
      </c>
      <c r="R91">
        <f t="shared" si="9"/>
        <v>256.54485647401316</v>
      </c>
      <c r="S91">
        <f t="shared" si="9"/>
        <v>230.88780512147659</v>
      </c>
      <c r="T91">
        <f t="shared" si="9"/>
        <v>193.12062553054275</v>
      </c>
      <c r="U91">
        <f t="shared" si="9"/>
        <v>256.13434365237259</v>
      </c>
      <c r="V91">
        <f t="shared" si="9"/>
        <v>214.18506469097531</v>
      </c>
      <c r="W91">
        <f t="shared" si="9"/>
        <v>248.30894298984896</v>
      </c>
      <c r="X91">
        <f t="shared" si="9"/>
        <v>254.8771481360983</v>
      </c>
      <c r="Y91">
        <f t="shared" si="9"/>
        <v>231.29831794311721</v>
      </c>
      <c r="Z91">
        <f t="shared" si="9"/>
        <v>257.36588211729435</v>
      </c>
    </row>
    <row r="92" spans="2:26" x14ac:dyDescent="0.25">
      <c r="B92">
        <f t="shared" si="1"/>
        <v>2.2799999999999998</v>
      </c>
      <c r="C92">
        <f t="shared" ref="C92:Z92" si="10">(((($AC23-EXP(52.57-6690.9/(273.15+$AE23)-4.681*LN(273.15+$AE23)))/1013)*C23/100*0.2095*(48.998-1.335*$AE23+0.02755*POWER($AE23,2)-0.000322*POWER($AE23,3)+0.000001598*POWER($AE23,4))*32/22.414))*31.25</f>
        <v>255.57796760251233</v>
      </c>
      <c r="D92">
        <f t="shared" si="10"/>
        <v>252.27009584363557</v>
      </c>
      <c r="E92">
        <f t="shared" si="10"/>
        <v>193.77974327000953</v>
      </c>
      <c r="F92">
        <f t="shared" si="10"/>
        <v>231.16638687033699</v>
      </c>
      <c r="G92">
        <f t="shared" si="10"/>
        <v>221.96075926230026</v>
      </c>
      <c r="H92">
        <f t="shared" si="10"/>
        <v>258.03963960911818</v>
      </c>
      <c r="I92">
        <f t="shared" si="10"/>
        <v>141.72563729698862</v>
      </c>
      <c r="J92">
        <f t="shared" si="10"/>
        <v>227.55080611063451</v>
      </c>
      <c r="K92">
        <f t="shared" si="10"/>
        <v>247.75703049819145</v>
      </c>
      <c r="L92">
        <f t="shared" si="10"/>
        <v>221.57612301126809</v>
      </c>
      <c r="M92">
        <f t="shared" si="10"/>
        <v>181.16367423615426</v>
      </c>
      <c r="N92">
        <f t="shared" si="10"/>
        <v>211.29351390034125</v>
      </c>
      <c r="O92">
        <f t="shared" si="10"/>
        <v>256.80880360581529</v>
      </c>
      <c r="P92">
        <f t="shared" si="10"/>
        <v>191.08728951278434</v>
      </c>
      <c r="Q92">
        <f t="shared" si="10"/>
        <v>200.7544806220597</v>
      </c>
      <c r="R92">
        <f t="shared" si="10"/>
        <v>255.98824627027994</v>
      </c>
      <c r="S92">
        <f t="shared" si="10"/>
        <v>230.75610820256927</v>
      </c>
      <c r="T92">
        <f t="shared" si="10"/>
        <v>191.4719257638165</v>
      </c>
      <c r="U92">
        <f t="shared" si="10"/>
        <v>255.57796760251233</v>
      </c>
      <c r="V92">
        <f t="shared" si="10"/>
        <v>213.26797998897311</v>
      </c>
      <c r="W92">
        <f t="shared" si="10"/>
        <v>248.1673091659591</v>
      </c>
      <c r="X92">
        <f t="shared" si="10"/>
        <v>253.91121051470617</v>
      </c>
      <c r="Y92">
        <f t="shared" si="10"/>
        <v>230.75610820256927</v>
      </c>
      <c r="Z92">
        <f t="shared" si="10"/>
        <v>256.39852493804761</v>
      </c>
    </row>
    <row r="93" spans="2:26" x14ac:dyDescent="0.25">
      <c r="B93">
        <f t="shared" si="1"/>
        <v>2.5299999999999998</v>
      </c>
      <c r="C93">
        <f t="shared" ref="C93:Z93" si="11">(((($AC24-EXP(52.57-6690.9/(273.15+$AE24)-4.681*LN(273.15+$AE24)))/1013)*C24/100*0.2095*(48.998-1.335*$AE24+0.02755*POWER($AE24,2)-0.000322*POWER($AE24,3)+0.000001598*POWER($AE24,4))*32/22.414))*31.25</f>
        <v>256.80880360581529</v>
      </c>
      <c r="D93">
        <f t="shared" si="11"/>
        <v>253.09065317917089</v>
      </c>
      <c r="E93">
        <f t="shared" si="11"/>
        <v>192.6258345169131</v>
      </c>
      <c r="F93">
        <f t="shared" si="11"/>
        <v>230.34582953480162</v>
      </c>
      <c r="G93">
        <f t="shared" si="11"/>
        <v>221.16584434350042</v>
      </c>
      <c r="H93">
        <f t="shared" si="11"/>
        <v>258.03963960911818</v>
      </c>
      <c r="I93">
        <f t="shared" si="11"/>
        <v>139.90502570876967</v>
      </c>
      <c r="J93">
        <f t="shared" si="11"/>
        <v>227.55080611063451</v>
      </c>
      <c r="K93">
        <f t="shared" si="11"/>
        <v>248.57758783372674</v>
      </c>
      <c r="L93">
        <f t="shared" si="11"/>
        <v>221.57612301126809</v>
      </c>
      <c r="M93">
        <f t="shared" si="11"/>
        <v>180.77903798512207</v>
      </c>
      <c r="N93">
        <f t="shared" si="11"/>
        <v>210.11396273050923</v>
      </c>
      <c r="O93">
        <f t="shared" si="11"/>
        <v>257.62936094135051</v>
      </c>
      <c r="P93">
        <f t="shared" si="11"/>
        <v>191.08728951278434</v>
      </c>
      <c r="Q93">
        <f t="shared" si="11"/>
        <v>199.98520811999535</v>
      </c>
      <c r="R93">
        <f t="shared" si="11"/>
        <v>256.80880360581529</v>
      </c>
      <c r="S93">
        <f t="shared" si="11"/>
        <v>229.55091461600173</v>
      </c>
      <c r="T93">
        <f t="shared" si="11"/>
        <v>191.08728951278434</v>
      </c>
      <c r="U93">
        <f t="shared" si="11"/>
        <v>255.98824627027994</v>
      </c>
      <c r="V93">
        <f t="shared" si="11"/>
        <v>212.88334373794089</v>
      </c>
      <c r="W93">
        <f t="shared" si="11"/>
        <v>247.75703049819145</v>
      </c>
      <c r="X93">
        <f t="shared" si="11"/>
        <v>254.73176785024154</v>
      </c>
      <c r="Y93">
        <f t="shared" si="11"/>
        <v>230.34582953480162</v>
      </c>
      <c r="Z93">
        <f t="shared" si="11"/>
        <v>256.80880360581529</v>
      </c>
    </row>
    <row r="94" spans="2:26" x14ac:dyDescent="0.25">
      <c r="B94">
        <f t="shared" si="1"/>
        <v>2.78</v>
      </c>
      <c r="C94">
        <f t="shared" ref="C94:Z94" si="12">(((($AC25-EXP(52.57-6690.9/(273.15+$AE25)-4.681*LN(273.15+$AE25)))/1013)*C25/100*0.2095*(48.998-1.335*$AE25+0.02755*POWER($AE25,2)-0.000322*POWER($AE25,3)+0.000001598*POWER($AE25,4))*32/22.414))*31.25</f>
        <v>256.30105858057237</v>
      </c>
      <c r="D94">
        <f t="shared" si="12"/>
        <v>252.58432155745186</v>
      </c>
      <c r="E94">
        <f t="shared" si="12"/>
        <v>191.39914035614899</v>
      </c>
      <c r="F94">
        <f t="shared" si="12"/>
        <v>230.25826674960317</v>
      </c>
      <c r="G94">
        <f t="shared" si="12"/>
        <v>221.49189390886352</v>
      </c>
      <c r="H94">
        <f t="shared" si="12"/>
        <v>258.76179481656953</v>
      </c>
      <c r="I94">
        <f t="shared" si="12"/>
        <v>137.6730658702125</v>
      </c>
      <c r="J94">
        <f t="shared" si="12"/>
        <v>228.25891855785551</v>
      </c>
      <c r="K94">
        <f t="shared" si="12"/>
        <v>248.48309449745665</v>
      </c>
      <c r="L94">
        <f t="shared" si="12"/>
        <v>220.28715845998991</v>
      </c>
      <c r="M94">
        <f t="shared" si="12"/>
        <v>180.71031733103666</v>
      </c>
      <c r="N94">
        <f t="shared" si="12"/>
        <v>210.4442135160015</v>
      </c>
      <c r="O94">
        <f t="shared" si="12"/>
        <v>257.12130399257148</v>
      </c>
      <c r="P94">
        <f t="shared" si="12"/>
        <v>189.86118020865081</v>
      </c>
      <c r="Q94">
        <f t="shared" si="12"/>
        <v>199.52469646876443</v>
      </c>
      <c r="R94">
        <f t="shared" si="12"/>
        <v>255.8909358745729</v>
      </c>
      <c r="S94">
        <f t="shared" si="12"/>
        <v>229.07916396985459</v>
      </c>
      <c r="T94">
        <f t="shared" si="12"/>
        <v>189.09220013490176</v>
      </c>
      <c r="U94">
        <f t="shared" si="12"/>
        <v>256.30105858057237</v>
      </c>
      <c r="V94">
        <f t="shared" si="12"/>
        <v>213.57139914924787</v>
      </c>
      <c r="W94">
        <f t="shared" si="12"/>
        <v>248.07297179145712</v>
      </c>
      <c r="X94">
        <f t="shared" si="12"/>
        <v>254.22481238144991</v>
      </c>
      <c r="Y94">
        <f t="shared" si="12"/>
        <v>229.87377671272861</v>
      </c>
      <c r="Z94">
        <f t="shared" si="12"/>
        <v>256.30105858057237</v>
      </c>
    </row>
    <row r="95" spans="2:26" x14ac:dyDescent="0.25">
      <c r="B95">
        <f t="shared" si="1"/>
        <v>3.03</v>
      </c>
      <c r="C95">
        <f t="shared" ref="C95:Z95" si="13">(((($AC26-EXP(52.57-6690.9/(273.15+$AE26)-4.681*LN(273.15+$AE26)))/1013)*C26/100*0.2095*(48.998-1.335*$AE26+0.02755*POWER($AE26,2)-0.000322*POWER($AE26,3)+0.000001598*POWER($AE26,4))*32/22.414))*31.25</f>
        <v>256.71118128657196</v>
      </c>
      <c r="D95">
        <f t="shared" si="13"/>
        <v>252.58432155745186</v>
      </c>
      <c r="E95">
        <f t="shared" si="13"/>
        <v>191.01465031927452</v>
      </c>
      <c r="F95">
        <f t="shared" si="13"/>
        <v>231.07851216160219</v>
      </c>
      <c r="G95">
        <f t="shared" si="13"/>
        <v>220.69728116598947</v>
      </c>
      <c r="H95">
        <f t="shared" si="13"/>
        <v>258.35167211056995</v>
      </c>
      <c r="I95">
        <f t="shared" si="13"/>
        <v>136.21200373008918</v>
      </c>
      <c r="J95">
        <f t="shared" si="13"/>
        <v>227.05418310898196</v>
      </c>
      <c r="K95">
        <f t="shared" si="13"/>
        <v>248.48309449745665</v>
      </c>
      <c r="L95">
        <f t="shared" si="13"/>
        <v>221.49189390886352</v>
      </c>
      <c r="M95">
        <f t="shared" si="13"/>
        <v>180.32582729416211</v>
      </c>
      <c r="N95">
        <f t="shared" si="13"/>
        <v>210.034090810002</v>
      </c>
      <c r="O95">
        <f t="shared" si="13"/>
        <v>256.71118128657196</v>
      </c>
      <c r="P95">
        <f t="shared" si="13"/>
        <v>189.47669017177634</v>
      </c>
      <c r="Q95">
        <f t="shared" si="13"/>
        <v>198.34559368901583</v>
      </c>
      <c r="R95">
        <f t="shared" si="13"/>
        <v>254.63493508744938</v>
      </c>
      <c r="S95">
        <f t="shared" si="13"/>
        <v>229.46365400672912</v>
      </c>
      <c r="T95">
        <f t="shared" si="13"/>
        <v>187.96436269340307</v>
      </c>
      <c r="U95">
        <f t="shared" si="13"/>
        <v>255.48081316857341</v>
      </c>
      <c r="V95">
        <f t="shared" si="13"/>
        <v>212.39229636949923</v>
      </c>
      <c r="W95">
        <f t="shared" si="13"/>
        <v>248.48309449745665</v>
      </c>
      <c r="X95">
        <f t="shared" si="13"/>
        <v>254.22481238144991</v>
      </c>
      <c r="Y95">
        <f t="shared" si="13"/>
        <v>229.87377671272861</v>
      </c>
      <c r="Z95">
        <f t="shared" si="13"/>
        <v>255.8909358745729</v>
      </c>
    </row>
    <row r="96" spans="2:26" x14ac:dyDescent="0.25">
      <c r="B96">
        <f t="shared" si="1"/>
        <v>3.28</v>
      </c>
      <c r="C96">
        <f t="shared" ref="C96:Z96" si="14">(((($AC27-EXP(52.57-6690.9/(273.15+$AE27)-4.681*LN(273.15+$AE27)))/1013)*C27/100*0.2095*(48.998-1.335*$AE27+0.02755*POWER($AE27,2)-0.000322*POWER($AE27,3)+0.000001598*POWER($AE27,4))*32/22.414))*31.25</f>
        <v>256.2036625291625</v>
      </c>
      <c r="D96">
        <f t="shared" si="14"/>
        <v>252.07837103329345</v>
      </c>
      <c r="E96">
        <f t="shared" si="14"/>
        <v>189.40468781033792</v>
      </c>
      <c r="F96">
        <f t="shared" si="14"/>
        <v>229.78642319847279</v>
      </c>
      <c r="G96">
        <f t="shared" si="14"/>
        <v>220.99775870727342</v>
      </c>
      <c r="H96">
        <f t="shared" si="14"/>
        <v>258.25349681282421</v>
      </c>
      <c r="I96">
        <f t="shared" si="14"/>
        <v>134.00791629438143</v>
      </c>
      <c r="J96">
        <f t="shared" si="14"/>
        <v>228.58214555682156</v>
      </c>
      <c r="K96">
        <f t="shared" si="14"/>
        <v>247.97870246597009</v>
      </c>
      <c r="L96">
        <f t="shared" si="14"/>
        <v>219.81910399416796</v>
      </c>
      <c r="M96">
        <f t="shared" si="14"/>
        <v>178.7455495352973</v>
      </c>
      <c r="N96">
        <f t="shared" si="14"/>
        <v>209.95427650404613</v>
      </c>
      <c r="O96">
        <f t="shared" si="14"/>
        <v>257.84352995609186</v>
      </c>
      <c r="P96">
        <f t="shared" si="14"/>
        <v>188.25165602577826</v>
      </c>
      <c r="Q96">
        <f t="shared" si="14"/>
        <v>197.88587715898817</v>
      </c>
      <c r="R96">
        <f t="shared" si="14"/>
        <v>255.79369567243015</v>
      </c>
      <c r="S96">
        <f t="shared" si="14"/>
        <v>228.99211241355391</v>
      </c>
      <c r="T96">
        <f t="shared" si="14"/>
        <v>187.50859109795095</v>
      </c>
      <c r="U96">
        <f t="shared" si="14"/>
        <v>256.2036625291625</v>
      </c>
      <c r="V96">
        <f t="shared" si="14"/>
        <v>212.72155278698943</v>
      </c>
      <c r="W96">
        <f t="shared" si="14"/>
        <v>247.56873560923782</v>
      </c>
      <c r="X96">
        <f t="shared" si="14"/>
        <v>253.30827160349045</v>
      </c>
      <c r="Y96">
        <f t="shared" si="14"/>
        <v>229.78642319847279</v>
      </c>
      <c r="Z96">
        <f t="shared" si="14"/>
        <v>256.2036625291625</v>
      </c>
    </row>
    <row r="97" spans="2:26" x14ac:dyDescent="0.25">
      <c r="B97">
        <f t="shared" si="1"/>
        <v>3.55</v>
      </c>
      <c r="C97">
        <f t="shared" ref="C97:Z97" si="15">(((($AC28-EXP(52.57-6690.9/(273.15+$AE28)-4.681*LN(273.15+$AE28)))/1013)*C28/100*0.2095*(48.998-1.335*$AE28+0.02755*POWER($AE28,2)-0.000322*POWER($AE28,3)+0.000001598*POWER($AE28,4))*32/22.414))*31.25</f>
        <v>255.38372881569788</v>
      </c>
      <c r="D97">
        <f t="shared" si="15"/>
        <v>252.07837103329345</v>
      </c>
      <c r="E97">
        <f t="shared" si="15"/>
        <v>187.89293502613745</v>
      </c>
      <c r="F97">
        <f t="shared" si="15"/>
        <v>229.37645634174044</v>
      </c>
      <c r="G97">
        <f t="shared" si="15"/>
        <v>220.20344792235451</v>
      </c>
      <c r="H97">
        <f t="shared" si="15"/>
        <v>257.84352995609186</v>
      </c>
      <c r="I97">
        <f t="shared" si="15"/>
        <v>131.11252536870936</v>
      </c>
      <c r="J97">
        <f t="shared" si="15"/>
        <v>227.78783477190271</v>
      </c>
      <c r="K97">
        <f t="shared" si="15"/>
        <v>248.79863617943474</v>
      </c>
      <c r="L97">
        <f t="shared" si="15"/>
        <v>220.20344792235451</v>
      </c>
      <c r="M97">
        <f t="shared" si="15"/>
        <v>178.36120560711072</v>
      </c>
      <c r="N97">
        <f t="shared" si="15"/>
        <v>208.77562179094073</v>
      </c>
      <c r="O97">
        <f t="shared" si="15"/>
        <v>257.02359624262721</v>
      </c>
      <c r="P97">
        <f t="shared" si="15"/>
        <v>186.73990324157779</v>
      </c>
      <c r="Q97">
        <f t="shared" si="15"/>
        <v>197.117189302615</v>
      </c>
      <c r="R97">
        <f t="shared" si="15"/>
        <v>255.38372881569788</v>
      </c>
      <c r="S97">
        <f t="shared" si="15"/>
        <v>227.3778679151703</v>
      </c>
      <c r="T97">
        <f t="shared" si="15"/>
        <v>185.58687145701811</v>
      </c>
      <c r="U97">
        <f t="shared" si="15"/>
        <v>255.79369567243015</v>
      </c>
      <c r="V97">
        <f t="shared" si="15"/>
        <v>212.72155278698943</v>
      </c>
      <c r="W97">
        <f t="shared" si="15"/>
        <v>247.56873560923782</v>
      </c>
      <c r="X97">
        <f t="shared" si="15"/>
        <v>253.30827160349045</v>
      </c>
      <c r="Y97">
        <f t="shared" si="15"/>
        <v>229.78642319847279</v>
      </c>
      <c r="Z97">
        <f t="shared" si="15"/>
        <v>255.38372881569788</v>
      </c>
    </row>
    <row r="98" spans="2:26" x14ac:dyDescent="0.25">
      <c r="B98">
        <f t="shared" si="1"/>
        <v>3.8</v>
      </c>
      <c r="C98">
        <f t="shared" ref="C98:Z98" si="16">(((($AC29-EXP(52.57-6690.9/(273.15+$AE29)-4.681*LN(273.15+$AE29)))/1013)*C29/100*0.2095*(48.998-1.335*$AE29+0.02755*POWER($AE29,2)-0.000322*POWER($AE29,3)+0.000001598*POWER($AE29,4))*32/22.414))*31.25</f>
        <v>256.10633670347488</v>
      </c>
      <c r="D98">
        <f t="shared" si="16"/>
        <v>252.80223454978463</v>
      </c>
      <c r="E98">
        <f t="shared" si="16"/>
        <v>187.43736093569643</v>
      </c>
      <c r="F98">
        <f t="shared" si="16"/>
        <v>228.49531250442035</v>
      </c>
      <c r="G98">
        <f t="shared" si="16"/>
        <v>219.32578869805525</v>
      </c>
      <c r="H98">
        <f t="shared" si="16"/>
        <v>258.15539230266262</v>
      </c>
      <c r="I98">
        <f t="shared" si="16"/>
        <v>129.98696457347083</v>
      </c>
      <c r="J98">
        <f t="shared" si="16"/>
        <v>228.90512362425793</v>
      </c>
      <c r="K98">
        <f t="shared" si="16"/>
        <v>248.29431223157169</v>
      </c>
      <c r="L98">
        <f t="shared" si="16"/>
        <v>220.5296088625781</v>
      </c>
      <c r="M98">
        <f t="shared" si="16"/>
        <v>176.39807389507268</v>
      </c>
      <c r="N98">
        <f t="shared" si="16"/>
        <v>209.10612389710656</v>
      </c>
      <c r="O98">
        <f t="shared" si="16"/>
        <v>256.92595894314991</v>
      </c>
      <c r="P98">
        <f t="shared" si="16"/>
        <v>186.66896508600104</v>
      </c>
      <c r="Q98">
        <f t="shared" si="16"/>
        <v>197.04230905688888</v>
      </c>
      <c r="R98">
        <f t="shared" si="16"/>
        <v>254.87690334396223</v>
      </c>
      <c r="S98">
        <f t="shared" si="16"/>
        <v>227.29149233989753</v>
      </c>
      <c r="T98">
        <f t="shared" si="16"/>
        <v>185.13217338661025</v>
      </c>
      <c r="U98">
        <f t="shared" si="16"/>
        <v>255.28671446379974</v>
      </c>
      <c r="V98">
        <f t="shared" si="16"/>
        <v>212.64074480570534</v>
      </c>
      <c r="W98">
        <f t="shared" si="16"/>
        <v>247.88450111173415</v>
      </c>
      <c r="X98">
        <f t="shared" si="16"/>
        <v>254.03166790929725</v>
      </c>
      <c r="Y98">
        <f t="shared" si="16"/>
        <v>228.49531250442035</v>
      </c>
      <c r="Z98">
        <f t="shared" si="16"/>
        <v>256.10633670347488</v>
      </c>
    </row>
    <row r="99" spans="2:26" x14ac:dyDescent="0.25">
      <c r="B99">
        <f t="shared" si="1"/>
        <v>4.05</v>
      </c>
      <c r="C99">
        <f t="shared" ref="C99:Z99" si="17">(((($AC30-EXP(52.57-6690.9/(273.15+$AE30)-4.681*LN(273.15+$AE30)))/1013)*C30/100*0.2095*(48.998-1.335*$AE30+0.02755*POWER($AE30,2)-0.000322*POWER($AE30,3)+0.000001598*POWER($AE30,4))*32/22.414))*31.25</f>
        <v>256.51614782331239</v>
      </c>
      <c r="D99">
        <f t="shared" si="17"/>
        <v>252.80223454978463</v>
      </c>
      <c r="E99">
        <f t="shared" si="17"/>
        <v>186.28476716115341</v>
      </c>
      <c r="F99">
        <f t="shared" si="17"/>
        <v>227.70130345973516</v>
      </c>
      <c r="G99">
        <f t="shared" si="17"/>
        <v>220.11979774274056</v>
      </c>
      <c r="H99">
        <f t="shared" si="17"/>
        <v>258.15539230266262</v>
      </c>
      <c r="I99">
        <f t="shared" si="17"/>
        <v>127.83545619432371</v>
      </c>
      <c r="J99">
        <f t="shared" si="17"/>
        <v>228.49531250442035</v>
      </c>
      <c r="K99">
        <f t="shared" si="17"/>
        <v>249.52374559108426</v>
      </c>
      <c r="L99">
        <f t="shared" si="17"/>
        <v>220.11979774274056</v>
      </c>
      <c r="M99">
        <f t="shared" si="17"/>
        <v>176.01387597022492</v>
      </c>
      <c r="N99">
        <f t="shared" si="17"/>
        <v>209.49032182195432</v>
      </c>
      <c r="O99">
        <f t="shared" si="17"/>
        <v>257.74558118282505</v>
      </c>
      <c r="P99">
        <f t="shared" si="17"/>
        <v>185.51637131145799</v>
      </c>
      <c r="Q99">
        <f t="shared" si="17"/>
        <v>196.6581111320412</v>
      </c>
      <c r="R99">
        <f t="shared" si="17"/>
        <v>254.87690334396223</v>
      </c>
      <c r="S99">
        <f t="shared" si="17"/>
        <v>227.29149233989753</v>
      </c>
      <c r="T99">
        <f t="shared" si="17"/>
        <v>184.74797546176256</v>
      </c>
      <c r="U99">
        <f t="shared" si="17"/>
        <v>255.69652558363725</v>
      </c>
      <c r="V99">
        <f t="shared" si="17"/>
        <v>212.23093368586783</v>
      </c>
      <c r="W99">
        <f t="shared" si="17"/>
        <v>247.47468999189655</v>
      </c>
      <c r="X99">
        <f t="shared" si="17"/>
        <v>253.62185678945968</v>
      </c>
      <c r="Y99">
        <f t="shared" si="17"/>
        <v>229.69913266894315</v>
      </c>
      <c r="Z99">
        <f t="shared" si="17"/>
        <v>255.28671446379974</v>
      </c>
    </row>
    <row r="100" spans="2:26" x14ac:dyDescent="0.25">
      <c r="B100">
        <f t="shared" si="1"/>
        <v>4.3</v>
      </c>
      <c r="C100">
        <f t="shared" ref="C100:Z100" si="18">(((($AC31-EXP(52.57-6690.9/(273.15+$AE31)-4.681*LN(273.15+$AE31)))/1013)*C31/100*0.2095*(48.998-1.335*$AE31+0.02755*POWER($AE31,2)-0.000322*POWER($AE31,3)+0.000001598*POWER($AE31,4))*32/22.414))*31.25</f>
        <v>255.28671446379974</v>
      </c>
      <c r="D100">
        <f t="shared" si="18"/>
        <v>251.98261231010954</v>
      </c>
      <c r="E100">
        <f t="shared" si="18"/>
        <v>185.13217338661025</v>
      </c>
      <c r="F100">
        <f t="shared" si="18"/>
        <v>226.49748329521231</v>
      </c>
      <c r="G100">
        <f t="shared" si="18"/>
        <v>219.32578869805525</v>
      </c>
      <c r="H100">
        <f t="shared" si="18"/>
        <v>258.15539230266262</v>
      </c>
      <c r="I100">
        <f t="shared" si="18"/>
        <v>124.99239155045076</v>
      </c>
      <c r="J100">
        <f t="shared" si="18"/>
        <v>228.08550138458278</v>
      </c>
      <c r="K100">
        <f t="shared" si="18"/>
        <v>248.70412335140918</v>
      </c>
      <c r="L100">
        <f t="shared" si="18"/>
        <v>220.11979774274056</v>
      </c>
      <c r="M100">
        <f t="shared" si="18"/>
        <v>175.65529124036709</v>
      </c>
      <c r="N100">
        <f t="shared" si="18"/>
        <v>209.10612389710656</v>
      </c>
      <c r="O100">
        <f t="shared" si="18"/>
        <v>256.10633670347488</v>
      </c>
      <c r="P100">
        <f t="shared" si="18"/>
        <v>183.62099488220935</v>
      </c>
      <c r="Q100">
        <f t="shared" si="18"/>
        <v>194.71150831281284</v>
      </c>
      <c r="R100">
        <f t="shared" si="18"/>
        <v>254.44147902913477</v>
      </c>
      <c r="S100">
        <f t="shared" si="18"/>
        <v>226.88168122006002</v>
      </c>
      <c r="T100">
        <f t="shared" si="18"/>
        <v>183.62099488220935</v>
      </c>
      <c r="U100">
        <f t="shared" si="18"/>
        <v>255.28671446379974</v>
      </c>
      <c r="V100">
        <f t="shared" si="18"/>
        <v>211.84673576102014</v>
      </c>
      <c r="W100">
        <f t="shared" si="18"/>
        <v>247.09049206704887</v>
      </c>
      <c r="X100">
        <f t="shared" si="18"/>
        <v>253.62185678945968</v>
      </c>
      <c r="Y100">
        <f t="shared" si="18"/>
        <v>229.28932154910555</v>
      </c>
      <c r="Z100">
        <f t="shared" si="18"/>
        <v>255.28671446379974</v>
      </c>
    </row>
    <row r="101" spans="2:26" x14ac:dyDescent="0.25">
      <c r="B101">
        <f t="shared" si="1"/>
        <v>4.55</v>
      </c>
      <c r="C101">
        <f t="shared" ref="C101:Z101" si="19">(((($AC32-EXP(52.57-6690.9/(273.15+$AE32)-4.681*LN(273.15+$AE32)))/1013)*C32/100*0.2095*(48.998-1.335*$AE32+0.02755*POWER($AE32,2)-0.000322*POWER($AE32,3)+0.000001598*POWER($AE32,4))*32/22.414))*31.25</f>
        <v>256.10633670347488</v>
      </c>
      <c r="D101">
        <f t="shared" si="19"/>
        <v>252.39242342994712</v>
      </c>
      <c r="E101">
        <f t="shared" si="19"/>
        <v>185.13217338661025</v>
      </c>
      <c r="F101">
        <f t="shared" si="19"/>
        <v>226.49748329521231</v>
      </c>
      <c r="G101">
        <f t="shared" si="19"/>
        <v>219.32578869805525</v>
      </c>
      <c r="H101">
        <f t="shared" si="19"/>
        <v>258.56520342250013</v>
      </c>
      <c r="I101">
        <f t="shared" si="19"/>
        <v>123.91663736087723</v>
      </c>
      <c r="J101">
        <f t="shared" si="19"/>
        <v>228.08550138458278</v>
      </c>
      <c r="K101">
        <f t="shared" si="19"/>
        <v>249.52374559108426</v>
      </c>
      <c r="L101">
        <f t="shared" si="19"/>
        <v>219.32578869805525</v>
      </c>
      <c r="M101">
        <f t="shared" si="19"/>
        <v>175.65529124036709</v>
      </c>
      <c r="N101">
        <f t="shared" si="19"/>
        <v>208.69631277726904</v>
      </c>
      <c r="O101">
        <f t="shared" si="19"/>
        <v>256.92595894314991</v>
      </c>
      <c r="P101">
        <f t="shared" si="19"/>
        <v>182.85259903251395</v>
      </c>
      <c r="Q101">
        <f t="shared" si="19"/>
        <v>195.50551735749809</v>
      </c>
      <c r="R101">
        <f t="shared" si="19"/>
        <v>255.28671446379974</v>
      </c>
      <c r="S101">
        <f t="shared" si="19"/>
        <v>226.08767217537476</v>
      </c>
      <c r="T101">
        <f t="shared" si="19"/>
        <v>182.85259903251395</v>
      </c>
      <c r="U101">
        <f t="shared" si="19"/>
        <v>256.10633670347488</v>
      </c>
      <c r="V101">
        <f t="shared" si="19"/>
        <v>212.64074480570534</v>
      </c>
      <c r="W101">
        <f t="shared" si="19"/>
        <v>247.09049206704887</v>
      </c>
      <c r="X101">
        <f t="shared" si="19"/>
        <v>254.44147902913477</v>
      </c>
      <c r="Y101">
        <f t="shared" si="19"/>
        <v>229.28932154910555</v>
      </c>
      <c r="Z101">
        <f t="shared" si="19"/>
        <v>255.28671446379974</v>
      </c>
    </row>
    <row r="102" spans="2:26" x14ac:dyDescent="0.25">
      <c r="B102">
        <f t="shared" si="1"/>
        <v>4.8</v>
      </c>
      <c r="C102">
        <f t="shared" ref="C102:Z102" si="20">(((($AC33-EXP(52.57-6690.9/(273.15+$AE33)-4.681*LN(273.15+$AE33)))/1013)*C33/100*0.2095*(48.998-1.335*$AE33+0.02755*POWER($AE33,2)-0.000322*POWER($AE33,3)+0.000001598*POWER($AE33,4))*32/22.414))*31.25</f>
        <v>256.10633670347488</v>
      </c>
      <c r="D102">
        <f t="shared" si="20"/>
        <v>252.39242342994712</v>
      </c>
      <c r="E102">
        <f t="shared" si="20"/>
        <v>183.23679695736163</v>
      </c>
      <c r="F102">
        <f t="shared" si="20"/>
        <v>225.70347425052708</v>
      </c>
      <c r="G102">
        <f t="shared" si="20"/>
        <v>217.76338380367469</v>
      </c>
      <c r="H102">
        <f t="shared" si="20"/>
        <v>258.56520342250013</v>
      </c>
      <c r="I102">
        <f t="shared" si="20"/>
        <v>121.7651289817301</v>
      </c>
      <c r="J102">
        <f t="shared" si="20"/>
        <v>228.08550138458278</v>
      </c>
      <c r="K102">
        <f t="shared" si="20"/>
        <v>249.11393447124675</v>
      </c>
      <c r="L102">
        <f t="shared" si="20"/>
        <v>218.94159077320762</v>
      </c>
      <c r="M102">
        <f t="shared" si="20"/>
        <v>174.8868953906717</v>
      </c>
      <c r="N102">
        <f t="shared" si="20"/>
        <v>208.31211485242133</v>
      </c>
      <c r="O102">
        <f t="shared" si="20"/>
        <v>256.51614782331239</v>
      </c>
      <c r="P102">
        <f t="shared" si="20"/>
        <v>181.70000525797084</v>
      </c>
      <c r="Q102">
        <f t="shared" si="20"/>
        <v>194.71150831281284</v>
      </c>
      <c r="R102">
        <f t="shared" si="20"/>
        <v>254.44147902913477</v>
      </c>
      <c r="S102">
        <f t="shared" si="20"/>
        <v>226.49748329521231</v>
      </c>
      <c r="T102">
        <f t="shared" si="20"/>
        <v>182.46840110766624</v>
      </c>
      <c r="U102">
        <f t="shared" si="20"/>
        <v>256.51614782331239</v>
      </c>
      <c r="V102">
        <f t="shared" si="20"/>
        <v>212.23093368586783</v>
      </c>
      <c r="W102">
        <f t="shared" si="20"/>
        <v>248.29431223157169</v>
      </c>
      <c r="X102">
        <f t="shared" si="20"/>
        <v>254.44147902913477</v>
      </c>
      <c r="Y102">
        <f t="shared" si="20"/>
        <v>228.90512362425793</v>
      </c>
      <c r="Z102">
        <f t="shared" si="20"/>
        <v>256.51614782331239</v>
      </c>
    </row>
    <row r="103" spans="2:26" x14ac:dyDescent="0.25">
      <c r="B103">
        <f t="shared" si="1"/>
        <v>5.05</v>
      </c>
      <c r="C103">
        <f t="shared" ref="C103:Z103" si="21">(((($AC34-EXP(52.57-6690.9/(273.15+$AE34)-4.681*LN(273.15+$AE34)))/1013)*C34/100*0.2095*(48.998-1.335*$AE34+0.02755*POWER($AE34,2)-0.000322*POWER($AE34,3)+0.000001598*POWER($AE34,4))*32/22.414))*31.25</f>
        <v>256.46743339367362</v>
      </c>
      <c r="D103">
        <f t="shared" si="21"/>
        <v>251.93475883444444</v>
      </c>
      <c r="E103">
        <f t="shared" si="21"/>
        <v>182.04962396361719</v>
      </c>
      <c r="F103">
        <f t="shared" si="21"/>
        <v>224.86675313328493</v>
      </c>
      <c r="G103">
        <f t="shared" si="21"/>
        <v>218.51588708419544</v>
      </c>
      <c r="H103">
        <f t="shared" si="21"/>
        <v>258.51609986112186</v>
      </c>
      <c r="I103">
        <f t="shared" si="21"/>
        <v>119.25799673632933</v>
      </c>
      <c r="J103">
        <f t="shared" si="21"/>
        <v>228.4519194513193</v>
      </c>
      <c r="K103">
        <f t="shared" si="21"/>
        <v>249.06662578001698</v>
      </c>
      <c r="L103">
        <f t="shared" si="21"/>
        <v>218.51588708419544</v>
      </c>
      <c r="M103">
        <f t="shared" si="21"/>
        <v>174.46955803405879</v>
      </c>
      <c r="N103">
        <f t="shared" si="21"/>
        <v>209.0664130030905</v>
      </c>
      <c r="O103">
        <f t="shared" si="21"/>
        <v>257.28689998065289</v>
      </c>
      <c r="P103">
        <f t="shared" si="21"/>
        <v>180.92285740652071</v>
      </c>
      <c r="Q103">
        <f t="shared" si="21"/>
        <v>194.29040610662025</v>
      </c>
      <c r="R103">
        <f t="shared" si="21"/>
        <v>253.98342530189271</v>
      </c>
      <c r="S103">
        <f t="shared" si="21"/>
        <v>226.04473635206762</v>
      </c>
      <c r="T103">
        <f t="shared" si="21"/>
        <v>180.92285740652071</v>
      </c>
      <c r="U103">
        <f t="shared" si="21"/>
        <v>255.23823351320473</v>
      </c>
      <c r="V103">
        <f t="shared" si="21"/>
        <v>211.80650440330251</v>
      </c>
      <c r="W103">
        <f t="shared" si="21"/>
        <v>246.63383434992221</v>
      </c>
      <c r="X103">
        <f t="shared" si="21"/>
        <v>253.98342530189271</v>
      </c>
      <c r="Y103">
        <f t="shared" si="21"/>
        <v>229.24577770745549</v>
      </c>
      <c r="Z103">
        <f t="shared" si="21"/>
        <v>254.8285002197151</v>
      </c>
    </row>
    <row r="104" spans="2:26" x14ac:dyDescent="0.25">
      <c r="B104">
        <f t="shared" si="1"/>
        <v>5.3</v>
      </c>
      <c r="C104">
        <f t="shared" ref="C104:Z104" si="22">(((($AC35-EXP(52.57-6690.9/(273.15+$AE35)-4.681*LN(273.15+$AE35)))/1013)*C35/100*0.2095*(48.998-1.335*$AE35+0.02755*POWER($AE35,2)-0.000322*POWER($AE35,3)+0.000001598*POWER($AE35,4))*32/22.414))*31.25</f>
        <v>255.23823351320473</v>
      </c>
      <c r="D104">
        <f t="shared" si="22"/>
        <v>252.34449212793413</v>
      </c>
      <c r="E104">
        <f t="shared" si="22"/>
        <v>181.66549900097061</v>
      </c>
      <c r="F104">
        <f t="shared" si="22"/>
        <v>224.07289487714877</v>
      </c>
      <c r="G104">
        <f t="shared" si="22"/>
        <v>216.92817057192309</v>
      </c>
      <c r="H104">
        <f t="shared" si="22"/>
        <v>257.69663327414258</v>
      </c>
      <c r="I104">
        <f t="shared" si="22"/>
        <v>117.13250527635181</v>
      </c>
      <c r="J104">
        <f t="shared" si="22"/>
        <v>228.0421861578296</v>
      </c>
      <c r="K104">
        <f t="shared" si="22"/>
        <v>249.47635907350659</v>
      </c>
      <c r="L104">
        <f t="shared" si="22"/>
        <v>219.28413700948852</v>
      </c>
      <c r="M104">
        <f t="shared" si="22"/>
        <v>173.72691643960877</v>
      </c>
      <c r="N104">
        <f t="shared" si="22"/>
        <v>207.88842978430782</v>
      </c>
      <c r="O104">
        <f t="shared" si="22"/>
        <v>256.87716668716331</v>
      </c>
      <c r="P104">
        <f t="shared" si="22"/>
        <v>179.77048251858105</v>
      </c>
      <c r="Q104">
        <f t="shared" si="22"/>
        <v>193.13803121868068</v>
      </c>
      <c r="R104">
        <f t="shared" si="22"/>
        <v>254.39315859538237</v>
      </c>
      <c r="S104">
        <f t="shared" si="22"/>
        <v>224.07289487714877</v>
      </c>
      <c r="T104">
        <f t="shared" si="22"/>
        <v>179.77048251858105</v>
      </c>
      <c r="U104">
        <f t="shared" si="22"/>
        <v>254.8285002197151</v>
      </c>
      <c r="V104">
        <f t="shared" si="22"/>
        <v>211.80650440330251</v>
      </c>
      <c r="W104">
        <f t="shared" si="22"/>
        <v>247.04356764341182</v>
      </c>
      <c r="X104">
        <f t="shared" si="22"/>
        <v>254.8285002197151</v>
      </c>
      <c r="Y104">
        <f t="shared" si="22"/>
        <v>228.86165274480891</v>
      </c>
      <c r="Z104">
        <f t="shared" si="22"/>
        <v>254.8285002197151</v>
      </c>
    </row>
    <row r="105" spans="2:26" x14ac:dyDescent="0.25">
      <c r="B105">
        <f t="shared" si="1"/>
        <v>5.55</v>
      </c>
      <c r="C105">
        <f t="shared" ref="C105:Z105" si="23">(((($AC36-EXP(52.57-6690.9/(273.15+$AE36)-4.681*LN(273.15+$AE36)))/1013)*C36/100*0.2095*(48.998-1.335*$AE36+0.02755*POWER($AE36,2)-0.000322*POWER($AE36,3)+0.000001598*POWER($AE36,4))*32/22.414))*31.25</f>
        <v>256.37005718746428</v>
      </c>
      <c r="D105">
        <f t="shared" si="23"/>
        <v>252.24868133053153</v>
      </c>
      <c r="E105">
        <f t="shared" si="23"/>
        <v>180.47018503960288</v>
      </c>
      <c r="F105">
        <f t="shared" si="23"/>
        <v>223.57824058665136</v>
      </c>
      <c r="G105">
        <f t="shared" si="23"/>
        <v>217.639363575419</v>
      </c>
      <c r="H105">
        <f t="shared" si="23"/>
        <v>258.0083680871146</v>
      </c>
      <c r="I105">
        <f t="shared" si="23"/>
        <v>115.3217281706966</v>
      </c>
      <c r="J105">
        <f t="shared" si="23"/>
        <v>229.56831481349775</v>
      </c>
      <c r="K105">
        <f t="shared" si="23"/>
        <v>249.38163725614348</v>
      </c>
      <c r="L105">
        <f t="shared" si="23"/>
        <v>218.43292041743709</v>
      </c>
      <c r="M105">
        <f t="shared" si="23"/>
        <v>172.91859573652732</v>
      </c>
      <c r="N105">
        <f t="shared" si="23"/>
        <v>208.19347729462274</v>
      </c>
      <c r="O105">
        <f t="shared" si="23"/>
        <v>256.77963491237682</v>
      </c>
      <c r="P105">
        <f t="shared" si="23"/>
        <v>178.57588806188221</v>
      </c>
      <c r="Q105">
        <f t="shared" si="23"/>
        <v>193.06470008066452</v>
      </c>
      <c r="R105">
        <f t="shared" si="23"/>
        <v>254.29656995509436</v>
      </c>
      <c r="S105">
        <f t="shared" si="23"/>
        <v>225.16535427068754</v>
      </c>
      <c r="T105">
        <f t="shared" si="23"/>
        <v>178.95986717898779</v>
      </c>
      <c r="U105">
        <f t="shared" si="23"/>
        <v>255.55090173763912</v>
      </c>
      <c r="V105">
        <f t="shared" si="23"/>
        <v>211.34210605488815</v>
      </c>
      <c r="W105">
        <f t="shared" si="23"/>
        <v>246.94976951447507</v>
      </c>
      <c r="X105">
        <f t="shared" si="23"/>
        <v>253.88699223018185</v>
      </c>
      <c r="Y105">
        <f t="shared" si="23"/>
        <v>229.15873708858513</v>
      </c>
      <c r="Z105">
        <f t="shared" si="23"/>
        <v>255.55090173763912</v>
      </c>
    </row>
    <row r="106" spans="2:26" x14ac:dyDescent="0.25">
      <c r="B106">
        <f t="shared" si="1"/>
        <v>5.8</v>
      </c>
      <c r="C106">
        <f t="shared" ref="C106:Z106" si="24">(((($AC37-EXP(52.57-6690.9/(273.15+$AE37)-4.681*LN(273.15+$AE37)))/1013)*C37/100*0.2095*(48.998-1.335*$AE37+0.02755*POWER($AE37,2)-0.000322*POWER($AE37,3)+0.000001598*POWER($AE37,4))*32/22.414))*31.25</f>
        <v>255.96047946255169</v>
      </c>
      <c r="D106">
        <f t="shared" si="24"/>
        <v>252.24868133053153</v>
      </c>
      <c r="E106">
        <f t="shared" si="24"/>
        <v>180.08620592249736</v>
      </c>
      <c r="F106">
        <f t="shared" si="24"/>
        <v>223.57824058665136</v>
      </c>
      <c r="G106">
        <f t="shared" si="24"/>
        <v>216.84580673340088</v>
      </c>
      <c r="H106">
        <f t="shared" si="24"/>
        <v>257.59879036220195</v>
      </c>
      <c r="I106">
        <f t="shared" si="24"/>
        <v>114.27218525060815</v>
      </c>
      <c r="J106">
        <f t="shared" si="24"/>
        <v>228.77475797147957</v>
      </c>
      <c r="K106">
        <f t="shared" si="24"/>
        <v>248.97205953123094</v>
      </c>
      <c r="L106">
        <f t="shared" si="24"/>
        <v>219.20087865164817</v>
      </c>
      <c r="M106">
        <f t="shared" si="24"/>
        <v>173.27697624582584</v>
      </c>
      <c r="N106">
        <f t="shared" si="24"/>
        <v>208.19347729462274</v>
      </c>
      <c r="O106">
        <f t="shared" si="24"/>
        <v>256.37005718746428</v>
      </c>
      <c r="P106">
        <f t="shared" si="24"/>
        <v>177.42395071056563</v>
      </c>
      <c r="Q106">
        <f t="shared" si="24"/>
        <v>192.680720963559</v>
      </c>
      <c r="R106">
        <f t="shared" si="24"/>
        <v>254.29656995509436</v>
      </c>
      <c r="S106">
        <f t="shared" si="24"/>
        <v>224.78137515358199</v>
      </c>
      <c r="T106">
        <f t="shared" si="24"/>
        <v>177.42395071056563</v>
      </c>
      <c r="U106">
        <f t="shared" si="24"/>
        <v>255.14132401272656</v>
      </c>
      <c r="V106">
        <f t="shared" si="24"/>
        <v>211.34210605488815</v>
      </c>
      <c r="W106">
        <f t="shared" si="24"/>
        <v>247.74332635649318</v>
      </c>
      <c r="X106">
        <f t="shared" si="24"/>
        <v>254.29656995509436</v>
      </c>
      <c r="Y106">
        <f t="shared" si="24"/>
        <v>227.95560252165438</v>
      </c>
      <c r="Z106">
        <f t="shared" si="24"/>
        <v>255.96047946255169</v>
      </c>
    </row>
    <row r="107" spans="2:26" x14ac:dyDescent="0.25">
      <c r="B107">
        <f t="shared" si="1"/>
        <v>6.05</v>
      </c>
      <c r="C107">
        <f t="shared" ref="C107:Z107" si="25">(((($AC38-EXP(52.57-6690.9/(273.15+$AE38)-4.681*LN(273.15+$AE38)))/1013)*C38/100*0.2095*(48.998-1.335*$AE38+0.02755*POWER($AE38,2)-0.000322*POWER($AE38,3)+0.000001598*POWER($AE38,4))*32/22.414))*31.25</f>
        <v>255.45390658162776</v>
      </c>
      <c r="D107">
        <f t="shared" si="25"/>
        <v>251.74351727437184</v>
      </c>
      <c r="E107">
        <f t="shared" si="25"/>
        <v>178.50810901667188</v>
      </c>
      <c r="F107">
        <f t="shared" si="25"/>
        <v>223.49338075567834</v>
      </c>
      <c r="G107">
        <f t="shared" si="25"/>
        <v>216.7635022190693</v>
      </c>
      <c r="H107">
        <f t="shared" si="25"/>
        <v>257.91044019194896</v>
      </c>
      <c r="I107">
        <f t="shared" si="25"/>
        <v>112.8214238323547</v>
      </c>
      <c r="J107">
        <f t="shared" si="25"/>
        <v>229.07175916244935</v>
      </c>
      <c r="K107">
        <f t="shared" si="25"/>
        <v>248.87756139566383</v>
      </c>
      <c r="L107">
        <f t="shared" si="25"/>
        <v>218.73384688568109</v>
      </c>
      <c r="M107">
        <f t="shared" si="25"/>
        <v>171.72705269651448</v>
      </c>
      <c r="N107">
        <f t="shared" si="25"/>
        <v>207.73062342278413</v>
      </c>
      <c r="O107">
        <f t="shared" si="25"/>
        <v>257.50101792356213</v>
      </c>
      <c r="P107">
        <f t="shared" si="25"/>
        <v>176.9983644019953</v>
      </c>
      <c r="Q107">
        <f t="shared" si="25"/>
        <v>191.45608825440635</v>
      </c>
      <c r="R107">
        <f t="shared" si="25"/>
        <v>253.79062861630618</v>
      </c>
      <c r="S107">
        <f t="shared" si="25"/>
        <v>223.90280302406524</v>
      </c>
      <c r="T107">
        <f t="shared" si="25"/>
        <v>176.9983644019953</v>
      </c>
      <c r="U107">
        <f t="shared" si="25"/>
        <v>254.20005088469304</v>
      </c>
      <c r="V107">
        <f t="shared" si="25"/>
        <v>211.26189048762083</v>
      </c>
      <c r="W107">
        <f t="shared" si="25"/>
        <v>246.85603894550371</v>
      </c>
      <c r="X107">
        <f t="shared" si="25"/>
        <v>254.20005088469304</v>
      </c>
      <c r="Y107">
        <f t="shared" si="25"/>
        <v>228.68792578583665</v>
      </c>
      <c r="Z107">
        <f t="shared" si="25"/>
        <v>254.6350620448541</v>
      </c>
    </row>
    <row r="108" spans="2:26" x14ac:dyDescent="0.25">
      <c r="B108">
        <f t="shared" si="1"/>
        <v>6.3</v>
      </c>
      <c r="C108">
        <f t="shared" ref="C108:Z108" si="26">(((($AC39-EXP(52.57-6690.9/(273.15+$AE39)-4.681*LN(273.15+$AE39)))/1013)*C39/100*0.2095*(48.998-1.335*$AE39+0.02755*POWER($AE39,2)-0.000322*POWER($AE39,3)+0.000001598*POWER($AE39,4))*32/22.414))*31.25</f>
        <v>255.45390658162776</v>
      </c>
      <c r="D108">
        <f t="shared" si="26"/>
        <v>252.56236181114556</v>
      </c>
      <c r="E108">
        <f t="shared" si="26"/>
        <v>176.9983644019953</v>
      </c>
      <c r="F108">
        <f t="shared" si="26"/>
        <v>223.08395848729154</v>
      </c>
      <c r="G108">
        <f t="shared" si="26"/>
        <v>215.97024657406976</v>
      </c>
      <c r="H108">
        <f t="shared" si="26"/>
        <v>257.91044019194896</v>
      </c>
      <c r="I108">
        <f t="shared" si="26"/>
        <v>110.36489022203354</v>
      </c>
      <c r="J108">
        <f t="shared" si="26"/>
        <v>228.68792578583665</v>
      </c>
      <c r="K108">
        <f t="shared" si="26"/>
        <v>248.46813912727688</v>
      </c>
      <c r="L108">
        <f t="shared" si="26"/>
        <v>218.73384688568109</v>
      </c>
      <c r="M108">
        <f t="shared" si="26"/>
        <v>171.34321931990178</v>
      </c>
      <c r="N108">
        <f t="shared" si="26"/>
        <v>206.55353440117193</v>
      </c>
      <c r="O108">
        <f t="shared" si="26"/>
        <v>257.50101792356213</v>
      </c>
      <c r="P108">
        <f t="shared" si="26"/>
        <v>175.84686427215729</v>
      </c>
      <c r="Q108">
        <f t="shared" si="26"/>
        <v>190.68842150118101</v>
      </c>
      <c r="R108">
        <f t="shared" si="26"/>
        <v>253.38120634791932</v>
      </c>
      <c r="S108">
        <f t="shared" si="26"/>
        <v>224.69605866906474</v>
      </c>
      <c r="T108">
        <f t="shared" si="26"/>
        <v>176.23069764876999</v>
      </c>
      <c r="U108">
        <f t="shared" si="26"/>
        <v>254.6350620448541</v>
      </c>
      <c r="V108">
        <f t="shared" si="26"/>
        <v>210.85246821923397</v>
      </c>
      <c r="W108">
        <f t="shared" si="26"/>
        <v>248.05871685889005</v>
      </c>
      <c r="X108">
        <f t="shared" si="26"/>
        <v>254.20005088469304</v>
      </c>
      <c r="Y108">
        <f t="shared" si="26"/>
        <v>228.27850351744976</v>
      </c>
      <c r="Z108">
        <f t="shared" si="26"/>
        <v>254.6350620448541</v>
      </c>
    </row>
    <row r="109" spans="2:26" x14ac:dyDescent="0.25">
      <c r="B109">
        <f t="shared" si="1"/>
        <v>6.55</v>
      </c>
      <c r="C109">
        <f t="shared" ref="C109:Z109" si="27">(((($AC40-EXP(52.57-6690.9/(273.15+$AE40)-4.681*LN(273.15+$AE40)))/1013)*C40/100*0.2095*(48.998-1.335*$AE40+0.02755*POWER($AE40,2)-0.000322*POWER($AE40,3)+0.000001598*POWER($AE40,4))*32/22.414))*31.25</f>
        <v>255.45390658162776</v>
      </c>
      <c r="D109">
        <f t="shared" si="27"/>
        <v>252.56236181114556</v>
      </c>
      <c r="E109">
        <f t="shared" si="27"/>
        <v>176.9983644019953</v>
      </c>
      <c r="F109">
        <f t="shared" si="27"/>
        <v>221.49744719729244</v>
      </c>
      <c r="G109">
        <f t="shared" si="27"/>
        <v>215.17699092907023</v>
      </c>
      <c r="H109">
        <f t="shared" si="27"/>
        <v>257.91044019194896</v>
      </c>
      <c r="I109">
        <f t="shared" si="27"/>
        <v>109.64840125235651</v>
      </c>
      <c r="J109">
        <f t="shared" si="27"/>
        <v>228.68792578583665</v>
      </c>
      <c r="K109">
        <f t="shared" si="27"/>
        <v>248.05871685889005</v>
      </c>
      <c r="L109">
        <f t="shared" si="27"/>
        <v>218.73384688568109</v>
      </c>
      <c r="M109">
        <f t="shared" si="27"/>
        <v>169.83347470522523</v>
      </c>
      <c r="N109">
        <f t="shared" si="27"/>
        <v>206.93736777778463</v>
      </c>
      <c r="O109">
        <f t="shared" si="27"/>
        <v>256.27275111840152</v>
      </c>
      <c r="P109">
        <f t="shared" si="27"/>
        <v>174.33711965748068</v>
      </c>
      <c r="Q109">
        <f t="shared" si="27"/>
        <v>191.07225487779368</v>
      </c>
      <c r="R109">
        <f t="shared" si="27"/>
        <v>252.56236181114556</v>
      </c>
      <c r="S109">
        <f t="shared" si="27"/>
        <v>223.08395848729154</v>
      </c>
      <c r="T109">
        <f t="shared" si="27"/>
        <v>174.72095303409341</v>
      </c>
      <c r="U109">
        <f t="shared" si="27"/>
        <v>254.6350620448541</v>
      </c>
      <c r="V109">
        <f t="shared" si="27"/>
        <v>210.85246821923397</v>
      </c>
      <c r="W109">
        <f t="shared" si="27"/>
        <v>246.44661667711682</v>
      </c>
      <c r="X109">
        <f t="shared" si="27"/>
        <v>253.79062861630618</v>
      </c>
      <c r="Y109">
        <f t="shared" si="27"/>
        <v>229.07175916244935</v>
      </c>
      <c r="Z109">
        <f t="shared" si="27"/>
        <v>255.45390658162776</v>
      </c>
    </row>
    <row r="110" spans="2:26" x14ac:dyDescent="0.25">
      <c r="B110">
        <f t="shared" si="1"/>
        <v>6.8</v>
      </c>
      <c r="C110">
        <f t="shared" ref="C110:Z110" si="28">(((($AC41-EXP(52.57-6690.9/(273.15+$AE41)-4.681*LN(273.15+$AE41)))/1013)*C41/100*0.2095*(48.998-1.335*$AE41+0.02755*POWER($AE41,2)-0.000322*POWER($AE41,3)+0.000001598*POWER($AE41,4))*32/22.414))*31.25</f>
        <v>256.27275111840152</v>
      </c>
      <c r="D110">
        <f t="shared" si="28"/>
        <v>252.1529395427587</v>
      </c>
      <c r="E110">
        <f t="shared" si="28"/>
        <v>176.23069764876999</v>
      </c>
      <c r="F110">
        <f t="shared" si="28"/>
        <v>221.49744719729244</v>
      </c>
      <c r="G110">
        <f t="shared" si="28"/>
        <v>214.7931575524575</v>
      </c>
      <c r="H110">
        <f t="shared" si="28"/>
        <v>258.3198624603358</v>
      </c>
      <c r="I110">
        <f t="shared" si="28"/>
        <v>107.90835661171234</v>
      </c>
      <c r="J110">
        <f t="shared" si="28"/>
        <v>229.86501480744886</v>
      </c>
      <c r="K110">
        <f t="shared" si="28"/>
        <v>248.46813912727688</v>
      </c>
      <c r="L110">
        <f t="shared" si="28"/>
        <v>218.35001350906839</v>
      </c>
      <c r="M110">
        <f t="shared" si="28"/>
        <v>169.83347470522523</v>
      </c>
      <c r="N110">
        <f t="shared" si="28"/>
        <v>206.93736777778463</v>
      </c>
      <c r="O110">
        <f t="shared" si="28"/>
        <v>257.09159565517524</v>
      </c>
      <c r="P110">
        <f t="shared" si="28"/>
        <v>174.33711965748068</v>
      </c>
      <c r="Q110">
        <f t="shared" si="28"/>
        <v>189.15308799473027</v>
      </c>
      <c r="R110">
        <f t="shared" si="28"/>
        <v>253.38120634791932</v>
      </c>
      <c r="S110">
        <f t="shared" si="28"/>
        <v>224.28663640067791</v>
      </c>
      <c r="T110">
        <f t="shared" si="28"/>
        <v>173.97887517264218</v>
      </c>
      <c r="U110">
        <f t="shared" si="28"/>
        <v>255.45390658162776</v>
      </c>
      <c r="V110">
        <f t="shared" si="28"/>
        <v>210.08480146600857</v>
      </c>
      <c r="W110">
        <f t="shared" si="28"/>
        <v>248.46813912727688</v>
      </c>
      <c r="X110">
        <f t="shared" si="28"/>
        <v>254.6350620448541</v>
      </c>
      <c r="Y110">
        <f t="shared" si="28"/>
        <v>228.68792578583665</v>
      </c>
      <c r="Z110">
        <f t="shared" si="28"/>
        <v>255.45390658162776</v>
      </c>
    </row>
    <row r="111" spans="2:26" x14ac:dyDescent="0.25">
      <c r="B111">
        <f t="shared" si="1"/>
        <v>7.05</v>
      </c>
      <c r="C111">
        <f t="shared" ref="C111:Z111" si="29">(((($AC42-EXP(52.57-6690.9/(273.15+$AE42)-4.681*LN(273.15+$AE42)))/1013)*C42/100*0.2095*(48.998-1.335*$AE42+0.02755*POWER($AE42,2)-0.000322*POWER($AE42,3)+0.000001598*POWER($AE42,4))*32/22.414))*31.25</f>
        <v>255.71773405293001</v>
      </c>
      <c r="D111">
        <f t="shared" si="29"/>
        <v>251.6002667879514</v>
      </c>
      <c r="E111">
        <f t="shared" si="29"/>
        <v>175.38876088958841</v>
      </c>
      <c r="F111">
        <f t="shared" si="29"/>
        <v>221.78059703040395</v>
      </c>
      <c r="G111">
        <f t="shared" si="29"/>
        <v>215.05454801991087</v>
      </c>
      <c r="H111">
        <f t="shared" si="29"/>
        <v>257.76368052000021</v>
      </c>
      <c r="I111">
        <f t="shared" si="29"/>
        <v>106.44036494932442</v>
      </c>
      <c r="J111">
        <f t="shared" si="29"/>
        <v>228.94140966514951</v>
      </c>
      <c r="K111">
        <f t="shared" si="29"/>
        <v>248.32675244063913</v>
      </c>
      <c r="L111">
        <f t="shared" si="29"/>
        <v>218.22576504386959</v>
      </c>
      <c r="M111">
        <f t="shared" si="29"/>
        <v>169.73683377430709</v>
      </c>
      <c r="N111">
        <f t="shared" si="29"/>
        <v>206.05238356480217</v>
      </c>
      <c r="O111">
        <f t="shared" si="29"/>
        <v>256.94530193317217</v>
      </c>
      <c r="P111">
        <f t="shared" si="29"/>
        <v>172.75460481323557</v>
      </c>
      <c r="Q111">
        <f t="shared" si="29"/>
        <v>188.27822363213028</v>
      </c>
      <c r="R111">
        <f t="shared" si="29"/>
        <v>252.41864537477949</v>
      </c>
      <c r="S111">
        <f t="shared" si="29"/>
        <v>223.77539483579739</v>
      </c>
      <c r="T111">
        <f t="shared" si="29"/>
        <v>173.49626040754848</v>
      </c>
      <c r="U111">
        <f t="shared" si="29"/>
        <v>254.05540254843555</v>
      </c>
      <c r="V111">
        <f t="shared" si="29"/>
        <v>209.96525618307388</v>
      </c>
      <c r="W111">
        <f t="shared" si="29"/>
        <v>246.71556959782143</v>
      </c>
      <c r="X111">
        <f t="shared" si="29"/>
        <v>253.64621325502156</v>
      </c>
      <c r="Y111">
        <f t="shared" si="29"/>
        <v>228.14860540915979</v>
      </c>
      <c r="Z111">
        <f t="shared" si="29"/>
        <v>254.89935546610204</v>
      </c>
    </row>
    <row r="112" spans="2:26" x14ac:dyDescent="0.25">
      <c r="B112">
        <f t="shared" si="1"/>
        <v>7.3</v>
      </c>
      <c r="C112">
        <f t="shared" ref="C112:Z112" si="30">(((($AC43-EXP(52.57-6690.9/(273.15+$AE43)-4.681*LN(273.15+$AE43)))/1013)*C43/100*0.2095*(48.998-1.335*$AE43+0.02755*POWER($AE43,2)-0.000322*POWER($AE43,3)+0.000001598*POWER($AE43,4))*32/22.414))*31.25</f>
        <v>255.76624818241416</v>
      </c>
      <c r="D112">
        <f t="shared" si="30"/>
        <v>252.05726668561957</v>
      </c>
      <c r="E112">
        <f t="shared" si="30"/>
        <v>173.91286342556594</v>
      </c>
      <c r="F112">
        <f t="shared" si="30"/>
        <v>221.82267269105867</v>
      </c>
      <c r="G112">
        <f t="shared" si="30"/>
        <v>215.09534763135525</v>
      </c>
      <c r="H112">
        <f t="shared" si="30"/>
        <v>257.81258280133545</v>
      </c>
      <c r="I112">
        <f t="shared" si="30"/>
        <v>105.41181205717862</v>
      </c>
      <c r="J112">
        <f t="shared" si="30"/>
        <v>229.39411078106718</v>
      </c>
      <c r="K112">
        <f t="shared" si="30"/>
        <v>247.96459744777709</v>
      </c>
      <c r="L112">
        <f t="shared" si="30"/>
        <v>218.65085403173086</v>
      </c>
      <c r="M112">
        <f t="shared" si="30"/>
        <v>168.64355178184391</v>
      </c>
      <c r="N112">
        <f t="shared" si="30"/>
        <v>205.70778756705425</v>
      </c>
      <c r="O112">
        <f t="shared" si="30"/>
        <v>256.99404895376694</v>
      </c>
      <c r="P112">
        <f t="shared" si="30"/>
        <v>172.02000390306384</v>
      </c>
      <c r="Q112">
        <f t="shared" si="30"/>
        <v>188.31394330622396</v>
      </c>
      <c r="R112">
        <f t="shared" si="30"/>
        <v>252.87580053318797</v>
      </c>
      <c r="S112">
        <f t="shared" si="30"/>
        <v>222.61562735589067</v>
      </c>
      <c r="T112">
        <f t="shared" si="30"/>
        <v>173.1454879434705</v>
      </c>
      <c r="U112">
        <f t="shared" si="30"/>
        <v>255.35698125862993</v>
      </c>
      <c r="V112">
        <f t="shared" si="30"/>
        <v>209.59582334300447</v>
      </c>
      <c r="W112">
        <f t="shared" si="30"/>
        <v>246.7623758591609</v>
      </c>
      <c r="X112">
        <f t="shared" si="30"/>
        <v>254.10360130454075</v>
      </c>
      <c r="Y112">
        <f t="shared" si="30"/>
        <v>228.98484385728293</v>
      </c>
      <c r="Z112">
        <f t="shared" si="30"/>
        <v>255.35698125862993</v>
      </c>
    </row>
    <row r="113" spans="2:26" x14ac:dyDescent="0.25">
      <c r="B113">
        <f t="shared" si="1"/>
        <v>7.55</v>
      </c>
      <c r="C113">
        <f t="shared" ref="C113:Z113" si="31">(((($AC44-EXP(52.57-6690.9/(273.15+$AE44)-4.681*LN(273.15+$AE44)))/1013)*C44/100*0.2095*(48.998-1.335*$AE44+0.02755*POWER($AE44,2)-0.000322*POWER($AE44,3)+0.000001598*POWER($AE44,4))*32/22.414))*31.25</f>
        <v>256.17551510619847</v>
      </c>
      <c r="D113">
        <f t="shared" si="31"/>
        <v>252.46653360940374</v>
      </c>
      <c r="E113">
        <f t="shared" si="31"/>
        <v>173.91286342556594</v>
      </c>
      <c r="F113">
        <f t="shared" si="31"/>
        <v>221.0297180262267</v>
      </c>
      <c r="G113">
        <f t="shared" si="31"/>
        <v>213.91870522547552</v>
      </c>
      <c r="H113">
        <f t="shared" si="31"/>
        <v>258.22184972511968</v>
      </c>
      <c r="I113">
        <f t="shared" si="31"/>
        <v>104.03053618940679</v>
      </c>
      <c r="J113">
        <f t="shared" si="31"/>
        <v>229.39411078106718</v>
      </c>
      <c r="K113">
        <f t="shared" si="31"/>
        <v>249.19239821912987</v>
      </c>
      <c r="L113">
        <f t="shared" si="31"/>
        <v>218.26716629068312</v>
      </c>
      <c r="M113">
        <f t="shared" si="31"/>
        <v>168.28544322353267</v>
      </c>
      <c r="N113">
        <f t="shared" si="31"/>
        <v>204.91483290222226</v>
      </c>
      <c r="O113">
        <f t="shared" si="31"/>
        <v>257.40331587755117</v>
      </c>
      <c r="P113">
        <f t="shared" si="31"/>
        <v>171.27820760370491</v>
      </c>
      <c r="Q113">
        <f t="shared" si="31"/>
        <v>187.57214700686501</v>
      </c>
      <c r="R113">
        <f t="shared" si="31"/>
        <v>252.46653360940374</v>
      </c>
      <c r="S113">
        <f t="shared" si="31"/>
        <v>222.61562735589067</v>
      </c>
      <c r="T113">
        <f t="shared" si="31"/>
        <v>172.78737938515931</v>
      </c>
      <c r="U113">
        <f t="shared" si="31"/>
        <v>254.53844741106147</v>
      </c>
      <c r="V113">
        <f t="shared" si="31"/>
        <v>209.21213560195679</v>
      </c>
      <c r="W113">
        <f t="shared" si="31"/>
        <v>247.96459744777709</v>
      </c>
      <c r="X113">
        <f t="shared" si="31"/>
        <v>253.28506745697226</v>
      </c>
      <c r="Y113">
        <f t="shared" si="31"/>
        <v>228.19188919245096</v>
      </c>
      <c r="Z113">
        <f t="shared" si="31"/>
        <v>254.9477143348457</v>
      </c>
    </row>
    <row r="114" spans="2:26" x14ac:dyDescent="0.25">
      <c r="B114">
        <f t="shared" si="1"/>
        <v>7.8</v>
      </c>
      <c r="C114">
        <f t="shared" ref="C114:Z114" si="32">(((($AC45-EXP(52.57-6690.9/(273.15+$AE45)-4.681*LN(273.15+$AE45)))/1013)*C45/100*0.2095*(48.998-1.335*$AE45+0.02755*POWER($AE45,2)-0.000322*POWER($AE45,3)+0.000001598*POWER($AE45,4))*32/22.414))*31.25</f>
        <v>255.76624818241416</v>
      </c>
      <c r="D114">
        <f t="shared" si="32"/>
        <v>251.64799976183528</v>
      </c>
      <c r="E114">
        <f t="shared" si="32"/>
        <v>172.40369164411163</v>
      </c>
      <c r="F114">
        <f t="shared" si="32"/>
        <v>221.0297180262267</v>
      </c>
      <c r="G114">
        <f t="shared" si="32"/>
        <v>214.30239296652326</v>
      </c>
      <c r="H114">
        <f t="shared" si="32"/>
        <v>258.22184972511968</v>
      </c>
      <c r="I114">
        <f t="shared" si="32"/>
        <v>103.31431907278437</v>
      </c>
      <c r="J114">
        <f t="shared" si="32"/>
        <v>229.77779852211489</v>
      </c>
      <c r="K114">
        <f t="shared" si="32"/>
        <v>247.96459744777709</v>
      </c>
      <c r="L114">
        <f t="shared" si="32"/>
        <v>216.68125696101916</v>
      </c>
      <c r="M114">
        <f t="shared" si="32"/>
        <v>167.90175548248496</v>
      </c>
      <c r="N114">
        <f t="shared" si="32"/>
        <v>205.29852064327</v>
      </c>
      <c r="O114">
        <f t="shared" si="32"/>
        <v>256.99404895376694</v>
      </c>
      <c r="P114">
        <f t="shared" si="32"/>
        <v>170.89451986265718</v>
      </c>
      <c r="Q114">
        <f t="shared" si="32"/>
        <v>186.42108378372183</v>
      </c>
      <c r="R114">
        <f t="shared" si="32"/>
        <v>253.28506745697226</v>
      </c>
      <c r="S114">
        <f t="shared" si="32"/>
        <v>222.20636043210646</v>
      </c>
      <c r="T114">
        <f t="shared" si="32"/>
        <v>172.02000390306384</v>
      </c>
      <c r="U114">
        <f t="shared" si="32"/>
        <v>254.53844741106147</v>
      </c>
      <c r="V114">
        <f t="shared" si="32"/>
        <v>209.59582334300447</v>
      </c>
      <c r="W114">
        <f t="shared" si="32"/>
        <v>247.14606360020866</v>
      </c>
      <c r="X114">
        <f t="shared" si="32"/>
        <v>253.69433438075657</v>
      </c>
      <c r="Y114">
        <f t="shared" si="32"/>
        <v>228.60115611623522</v>
      </c>
      <c r="Z114">
        <f t="shared" si="32"/>
        <v>254.9477143348457</v>
      </c>
    </row>
    <row r="115" spans="2:26" x14ac:dyDescent="0.25">
      <c r="B115">
        <f t="shared" si="1"/>
        <v>8.0500000000000007</v>
      </c>
      <c r="C115">
        <f t="shared" ref="C115:Z115" si="33">(((($AC46-EXP(52.57-6690.9/(273.15+$AE46)-4.681*LN(273.15+$AE46)))/1013)*C46/100*0.2095*(48.998-1.335*$AE46+0.02755*POWER($AE46,2)-0.000322*POWER($AE46,3)+0.000001598*POWER($AE46,4))*32/22.414))*31.25</f>
        <v>256.12692334634409</v>
      </c>
      <c r="D115">
        <f t="shared" si="33"/>
        <v>252.82783466819347</v>
      </c>
      <c r="E115">
        <f t="shared" si="33"/>
        <v>171.62933425634702</v>
      </c>
      <c r="F115">
        <f t="shared" si="33"/>
        <v>220.98779277441429</v>
      </c>
      <c r="G115">
        <f t="shared" si="33"/>
        <v>214.2617437639212</v>
      </c>
      <c r="H115">
        <f t="shared" si="33"/>
        <v>257.76368052000021</v>
      </c>
      <c r="I115">
        <f t="shared" si="33"/>
        <v>101.22320145829555</v>
      </c>
      <c r="J115">
        <f t="shared" si="33"/>
        <v>229.7342139211392</v>
      </c>
      <c r="K115">
        <f t="shared" si="33"/>
        <v>248.7359417340532</v>
      </c>
      <c r="L115">
        <f t="shared" si="33"/>
        <v>217.81657575045554</v>
      </c>
      <c r="M115">
        <f t="shared" si="33"/>
        <v>167.48629266052995</v>
      </c>
      <c r="N115">
        <f t="shared" si="33"/>
        <v>204.10873442108559</v>
      </c>
      <c r="O115">
        <f t="shared" si="33"/>
        <v>256.94530193317217</v>
      </c>
      <c r="P115">
        <f t="shared" si="33"/>
        <v>169.73683377430709</v>
      </c>
      <c r="Q115">
        <f t="shared" si="33"/>
        <v>185.23487826236348</v>
      </c>
      <c r="R115">
        <f t="shared" si="33"/>
        <v>252.00945608136544</v>
      </c>
      <c r="S115">
        <f t="shared" si="33"/>
        <v>221.78059703040395</v>
      </c>
      <c r="T115">
        <f t="shared" si="33"/>
        <v>171.62933425634702</v>
      </c>
      <c r="U115">
        <f t="shared" si="33"/>
        <v>255.30854475951602</v>
      </c>
      <c r="V115">
        <f t="shared" si="33"/>
        <v>208.78883696450856</v>
      </c>
      <c r="W115">
        <f t="shared" si="33"/>
        <v>247.09918456039705</v>
      </c>
      <c r="X115">
        <f t="shared" si="33"/>
        <v>254.05540254843555</v>
      </c>
      <c r="Y115">
        <f t="shared" si="33"/>
        <v>228.55779470257386</v>
      </c>
      <c r="Z115">
        <f t="shared" si="33"/>
        <v>255.30854475951602</v>
      </c>
    </row>
    <row r="116" spans="2:26" x14ac:dyDescent="0.25">
      <c r="B116">
        <f t="shared" si="1"/>
        <v>8.32</v>
      </c>
      <c r="C116">
        <f t="shared" ref="C116:Z116" si="34">(((($AC47-EXP(52.57-6690.9/(273.15+$AE47)-4.681*LN(273.15+$AE47)))/1013)*C47/100*0.2095*(48.998-1.335*$AE47+0.02755*POWER($AE47,2)-0.000322*POWER($AE47,3)+0.000001598*POWER($AE47,4))*32/22.414))*31.25</f>
        <v>255.71773405293001</v>
      </c>
      <c r="D116">
        <f t="shared" si="34"/>
        <v>252.82783466819347</v>
      </c>
      <c r="E116">
        <f t="shared" si="34"/>
        <v>171.24571929377137</v>
      </c>
      <c r="F116">
        <f t="shared" si="34"/>
        <v>221.37140773698994</v>
      </c>
      <c r="G116">
        <f t="shared" si="34"/>
        <v>213.87812880134555</v>
      </c>
      <c r="H116">
        <f t="shared" si="34"/>
        <v>257.76368052000021</v>
      </c>
      <c r="I116">
        <f t="shared" si="34"/>
        <v>99.126106329548648</v>
      </c>
      <c r="J116">
        <f t="shared" si="34"/>
        <v>229.7342139211392</v>
      </c>
      <c r="K116">
        <f t="shared" si="34"/>
        <v>249.14513102746722</v>
      </c>
      <c r="L116">
        <f t="shared" si="34"/>
        <v>216.64015653189023</v>
      </c>
      <c r="M116">
        <f t="shared" si="34"/>
        <v>166.38659643447974</v>
      </c>
      <c r="N116">
        <f t="shared" si="34"/>
        <v>203.72511945850994</v>
      </c>
      <c r="O116">
        <f t="shared" si="34"/>
        <v>256.94530193317217</v>
      </c>
      <c r="P116">
        <f t="shared" si="34"/>
        <v>168.99517817999416</v>
      </c>
      <c r="Q116">
        <f t="shared" si="34"/>
        <v>184.46764833721215</v>
      </c>
      <c r="R116">
        <f t="shared" si="34"/>
        <v>252.82783466819347</v>
      </c>
      <c r="S116">
        <f t="shared" si="34"/>
        <v>222.57340128639368</v>
      </c>
      <c r="T116">
        <f t="shared" si="34"/>
        <v>171.24571929377137</v>
      </c>
      <c r="U116">
        <f t="shared" si="34"/>
        <v>254.89935546610204</v>
      </c>
      <c r="V116">
        <f t="shared" si="34"/>
        <v>209.17245192708421</v>
      </c>
      <c r="W116">
        <f t="shared" si="34"/>
        <v>248.32675244063913</v>
      </c>
      <c r="X116">
        <f t="shared" si="34"/>
        <v>254.89935546610204</v>
      </c>
      <c r="Y116">
        <f t="shared" si="34"/>
        <v>228.14860540915979</v>
      </c>
      <c r="Z116">
        <f t="shared" si="34"/>
        <v>255.71773405293001</v>
      </c>
    </row>
    <row r="117" spans="2:26" x14ac:dyDescent="0.25">
      <c r="B117">
        <f t="shared" si="1"/>
        <v>8.57</v>
      </c>
      <c r="C117">
        <f t="shared" ref="C117:Z117" si="35">(((($AC48-EXP(52.57-6690.9/(273.15+$AE48)-4.681*LN(273.15+$AE48)))/1013)*C48/100*0.2095*(48.998-1.335*$AE48+0.02755*POWER($AE48,2)-0.000322*POWER($AE48,3)+0.000001598*POWER($AE48,4))*32/22.414))*31.25</f>
        <v>256.07834907062119</v>
      </c>
      <c r="D117">
        <f t="shared" si="35"/>
        <v>252.77988606212287</v>
      </c>
      <c r="E117">
        <f t="shared" si="35"/>
        <v>170.47172773378247</v>
      </c>
      <c r="F117">
        <f t="shared" si="35"/>
        <v>220.5367709170352</v>
      </c>
      <c r="G117">
        <f t="shared" si="35"/>
        <v>213.45402476700406</v>
      </c>
      <c r="H117">
        <f t="shared" si="35"/>
        <v>257.71479583452725</v>
      </c>
      <c r="I117">
        <f t="shared" si="35"/>
        <v>98.774903890145765</v>
      </c>
      <c r="J117">
        <f t="shared" si="35"/>
        <v>229.69064500263505</v>
      </c>
      <c r="K117">
        <f t="shared" si="35"/>
        <v>247.87054577040448</v>
      </c>
      <c r="L117">
        <f t="shared" si="35"/>
        <v>217.39172479265312</v>
      </c>
      <c r="M117">
        <f t="shared" si="35"/>
        <v>165.58795692275015</v>
      </c>
      <c r="N117">
        <f t="shared" si="35"/>
        <v>203.68648314493939</v>
      </c>
      <c r="O117">
        <f t="shared" si="35"/>
        <v>256.89657245257422</v>
      </c>
      <c r="P117">
        <f t="shared" si="35"/>
        <v>168.22161343341156</v>
      </c>
      <c r="Q117">
        <f t="shared" si="35"/>
        <v>183.66557976777551</v>
      </c>
      <c r="R117">
        <f t="shared" si="35"/>
        <v>252.77988606212287</v>
      </c>
      <c r="S117">
        <f t="shared" si="35"/>
        <v>222.9147326208363</v>
      </c>
      <c r="T117">
        <f t="shared" si="35"/>
        <v>170.47172773378247</v>
      </c>
      <c r="U117">
        <f t="shared" si="35"/>
        <v>256.07834907062119</v>
      </c>
      <c r="V117">
        <f t="shared" si="35"/>
        <v>208.74924032077394</v>
      </c>
      <c r="W117">
        <f t="shared" si="35"/>
        <v>248.27965746138102</v>
      </c>
      <c r="X117">
        <f t="shared" si="35"/>
        <v>253.59810944407596</v>
      </c>
      <c r="Y117">
        <f t="shared" si="35"/>
        <v>228.10533720010093</v>
      </c>
      <c r="Z117">
        <f t="shared" si="35"/>
        <v>254.85101399769155</v>
      </c>
    </row>
    <row r="118" spans="2:26" x14ac:dyDescent="0.25">
      <c r="B118">
        <f t="shared" si="1"/>
        <v>8.82</v>
      </c>
      <c r="C118">
        <f t="shared" ref="C118:Z118" si="36">(((($AC49-EXP(52.57-6690.9/(273.15+$AE49)-4.681*LN(273.15+$AE49)))/1013)*C49/100*0.2095*(48.998-1.335*$AE49+0.02755*POWER($AE49,2)-0.000322*POWER($AE49,3)+0.000001598*POWER($AE49,4))*32/22.414))*31.25</f>
        <v>255.71773405293001</v>
      </c>
      <c r="D118">
        <f t="shared" si="36"/>
        <v>252.00945608136544</v>
      </c>
      <c r="E118">
        <f t="shared" si="36"/>
        <v>169.3787931425698</v>
      </c>
      <c r="F118">
        <f t="shared" si="36"/>
        <v>220.98779277441429</v>
      </c>
      <c r="G118">
        <f t="shared" si="36"/>
        <v>212.70170958278021</v>
      </c>
      <c r="H118">
        <f t="shared" si="36"/>
        <v>257.76368052000021</v>
      </c>
      <c r="I118">
        <f t="shared" si="36"/>
        <v>96.7221192307412</v>
      </c>
      <c r="J118">
        <f t="shared" si="36"/>
        <v>229.35059895856355</v>
      </c>
      <c r="K118">
        <f t="shared" si="36"/>
        <v>247.91756314722514</v>
      </c>
      <c r="L118">
        <f t="shared" si="36"/>
        <v>217.02377149446588</v>
      </c>
      <c r="M118">
        <f t="shared" si="36"/>
        <v>165.61936650932844</v>
      </c>
      <c r="N118">
        <f t="shared" si="36"/>
        <v>203.31593016509592</v>
      </c>
      <c r="O118">
        <f t="shared" si="36"/>
        <v>257.35449122658622</v>
      </c>
      <c r="P118">
        <f t="shared" si="36"/>
        <v>167.48629266052995</v>
      </c>
      <c r="Q118">
        <f t="shared" si="36"/>
        <v>183.70041841206086</v>
      </c>
      <c r="R118">
        <f t="shared" si="36"/>
        <v>251.6002667879514</v>
      </c>
      <c r="S118">
        <f t="shared" si="36"/>
        <v>222.57340128639368</v>
      </c>
      <c r="T118">
        <f t="shared" si="36"/>
        <v>170.8621043311957</v>
      </c>
      <c r="U118">
        <f t="shared" si="36"/>
        <v>254.89935546610204</v>
      </c>
      <c r="V118">
        <f t="shared" si="36"/>
        <v>208.78883696450856</v>
      </c>
      <c r="W118">
        <f t="shared" si="36"/>
        <v>246.71556959782143</v>
      </c>
      <c r="X118">
        <f t="shared" si="36"/>
        <v>253.64621325502156</v>
      </c>
      <c r="Y118">
        <f t="shared" si="36"/>
        <v>228.14860540915979</v>
      </c>
      <c r="Z118">
        <f t="shared" si="36"/>
        <v>254.89935546610204</v>
      </c>
    </row>
    <row r="119" spans="2:26" x14ac:dyDescent="0.25">
      <c r="B119">
        <f t="shared" si="1"/>
        <v>9.07</v>
      </c>
      <c r="C119">
        <f t="shared" ref="C119:Z119" si="37">(((($AC50-EXP(52.57-6690.9/(273.15+$AE50)-4.681*LN(273.15+$AE50)))/1013)*C50/100*0.2095*(48.998-1.335*$AE50+0.02755*POWER($AE50,2)-0.000322*POWER($AE50,3)+0.000001598*POWER($AE50,4))*32/22.414))*31.25</f>
        <v>255.62075815255275</v>
      </c>
      <c r="D119">
        <f t="shared" si="37"/>
        <v>252.73195470508421</v>
      </c>
      <c r="E119">
        <f t="shared" si="37"/>
        <v>168.93109009621651</v>
      </c>
      <c r="F119">
        <f t="shared" si="37"/>
        <v>221.69649111900563</v>
      </c>
      <c r="G119">
        <f t="shared" si="37"/>
        <v>213.0045161443214</v>
      </c>
      <c r="H119">
        <f t="shared" si="37"/>
        <v>257.66592873483148</v>
      </c>
      <c r="I119">
        <f t="shared" si="37"/>
        <v>95.304949134185094</v>
      </c>
      <c r="J119">
        <f t="shared" si="37"/>
        <v>229.64709175761394</v>
      </c>
      <c r="K119">
        <f t="shared" si="37"/>
        <v>248.23257942407116</v>
      </c>
      <c r="L119">
        <f t="shared" si="37"/>
        <v>216.14896591457483</v>
      </c>
      <c r="M119">
        <f t="shared" si="37"/>
        <v>165.55655863545675</v>
      </c>
      <c r="N119">
        <f t="shared" si="37"/>
        <v>202.8553571297636</v>
      </c>
      <c r="O119">
        <f t="shared" si="37"/>
        <v>256.84786050191991</v>
      </c>
      <c r="P119">
        <f t="shared" si="37"/>
        <v>166.68140245571001</v>
      </c>
      <c r="Q119">
        <f t="shared" si="37"/>
        <v>182.50590983609106</v>
      </c>
      <c r="R119">
        <f t="shared" si="37"/>
        <v>252.32292058862848</v>
      </c>
      <c r="S119">
        <f t="shared" si="37"/>
        <v>222.07996060318291</v>
      </c>
      <c r="T119">
        <f t="shared" si="37"/>
        <v>169.31455958039376</v>
      </c>
      <c r="U119">
        <f t="shared" si="37"/>
        <v>256.02979226900851</v>
      </c>
      <c r="V119">
        <f t="shared" si="37"/>
        <v>208.30062380508053</v>
      </c>
      <c r="W119">
        <f t="shared" si="37"/>
        <v>247.8235453076154</v>
      </c>
      <c r="X119">
        <f t="shared" si="37"/>
        <v>253.14098882153991</v>
      </c>
      <c r="Y119">
        <f t="shared" si="37"/>
        <v>227.65305043989227</v>
      </c>
      <c r="Z119">
        <f t="shared" si="37"/>
        <v>255.21172403609705</v>
      </c>
    </row>
    <row r="120" spans="2:26" x14ac:dyDescent="0.25">
      <c r="B120">
        <f t="shared" si="1"/>
        <v>9.32</v>
      </c>
      <c r="C120">
        <f t="shared" ref="C120:Z120" si="38">(((($AC51-EXP(52.57-6690.9/(273.15+$AE51)-4.681*LN(273.15+$AE51)))/1013)*C51/100*0.2095*(48.998-1.335*$AE51+0.02755*POWER($AE51,2)-0.000322*POWER($AE51,3)+0.000001598*POWER($AE51,4))*32/22.414))*31.25</f>
        <v>255.62075815255275</v>
      </c>
      <c r="D120">
        <f t="shared" si="38"/>
        <v>252.73195470508421</v>
      </c>
      <c r="E120">
        <f t="shared" si="38"/>
        <v>167.42277679178596</v>
      </c>
      <c r="F120">
        <f t="shared" si="38"/>
        <v>221.69649111900563</v>
      </c>
      <c r="G120">
        <f t="shared" si="38"/>
        <v>213.0045161443214</v>
      </c>
      <c r="H120">
        <f t="shared" si="38"/>
        <v>258.07496285128718</v>
      </c>
      <c r="I120">
        <f t="shared" si="38"/>
        <v>95.304949134185094</v>
      </c>
      <c r="J120">
        <f t="shared" si="38"/>
        <v>230.46515999052542</v>
      </c>
      <c r="K120">
        <f t="shared" si="38"/>
        <v>248.64161354052689</v>
      </c>
      <c r="L120">
        <f t="shared" si="38"/>
        <v>216.94146951520779</v>
      </c>
      <c r="M120">
        <f t="shared" si="38"/>
        <v>164.07380996330477</v>
      </c>
      <c r="N120">
        <f t="shared" si="38"/>
        <v>202.08841816140909</v>
      </c>
      <c r="O120">
        <f t="shared" si="38"/>
        <v>256.84786050191991</v>
      </c>
      <c r="P120">
        <f t="shared" si="38"/>
        <v>166.32349760381123</v>
      </c>
      <c r="Q120">
        <f t="shared" si="38"/>
        <v>181.73897086773655</v>
      </c>
      <c r="R120">
        <f t="shared" si="38"/>
        <v>251.91388647217272</v>
      </c>
      <c r="S120">
        <f t="shared" si="38"/>
        <v>221.69649111900563</v>
      </c>
      <c r="T120">
        <f t="shared" si="38"/>
        <v>169.67246443229257</v>
      </c>
      <c r="U120">
        <f t="shared" si="38"/>
        <v>256.02979226900851</v>
      </c>
      <c r="V120">
        <f t="shared" si="38"/>
        <v>207.1502153525488</v>
      </c>
      <c r="W120">
        <f t="shared" si="38"/>
        <v>247.4145111911597</v>
      </c>
      <c r="X120">
        <f t="shared" si="38"/>
        <v>254.80268991964138</v>
      </c>
      <c r="Y120">
        <f t="shared" si="38"/>
        <v>226.86054683925929</v>
      </c>
      <c r="Z120">
        <f t="shared" si="38"/>
        <v>255.62075815255275</v>
      </c>
    </row>
    <row r="121" spans="2:26" x14ac:dyDescent="0.25">
      <c r="B121">
        <f t="shared" si="1"/>
        <v>9.57</v>
      </c>
      <c r="C121">
        <f t="shared" ref="C121:Z121" si="39">(((($AC52-EXP(52.57-6690.9/(273.15+$AE52)-4.681*LN(273.15+$AE52)))/1013)*C52/100*0.2095*(48.998-1.335*$AE52+0.02755*POWER($AE52,2)-0.000322*POWER($AE52,3)+0.000001598*POWER($AE52,4))*32/22.414))*31.25</f>
        <v>255.62075815255275</v>
      </c>
      <c r="D121">
        <f t="shared" si="39"/>
        <v>252.32292058862848</v>
      </c>
      <c r="E121">
        <f t="shared" si="39"/>
        <v>167.06487193988721</v>
      </c>
      <c r="F121">
        <f t="shared" si="39"/>
        <v>221.69649111900563</v>
      </c>
      <c r="G121">
        <f t="shared" si="39"/>
        <v>213.0045161443214</v>
      </c>
      <c r="H121">
        <f t="shared" si="39"/>
        <v>258.07496285128718</v>
      </c>
      <c r="I121">
        <f t="shared" si="39"/>
        <v>94.256799210767284</v>
      </c>
      <c r="J121">
        <f t="shared" si="39"/>
        <v>230.05612587406966</v>
      </c>
      <c r="K121">
        <f t="shared" si="39"/>
        <v>249.45968177343838</v>
      </c>
      <c r="L121">
        <f t="shared" si="39"/>
        <v>216.94146951520779</v>
      </c>
      <c r="M121">
        <f t="shared" si="39"/>
        <v>163.3324356272287</v>
      </c>
      <c r="N121">
        <f t="shared" si="39"/>
        <v>201.7049486772319</v>
      </c>
      <c r="O121">
        <f t="shared" si="39"/>
        <v>256.84786050191991</v>
      </c>
      <c r="P121">
        <f t="shared" si="39"/>
        <v>165.55655863545675</v>
      </c>
      <c r="Q121">
        <f t="shared" si="39"/>
        <v>181.3555013835593</v>
      </c>
      <c r="R121">
        <f t="shared" si="39"/>
        <v>251.09581823926123</v>
      </c>
      <c r="S121">
        <f t="shared" si="39"/>
        <v>221.69649111900563</v>
      </c>
      <c r="T121">
        <f t="shared" si="39"/>
        <v>169.31455958039376</v>
      </c>
      <c r="U121">
        <f t="shared" si="39"/>
        <v>255.21172403609705</v>
      </c>
      <c r="V121">
        <f t="shared" si="39"/>
        <v>208.30062380508053</v>
      </c>
      <c r="W121">
        <f t="shared" si="39"/>
        <v>247.8235453076154</v>
      </c>
      <c r="X121">
        <f t="shared" si="39"/>
        <v>254.80268991964138</v>
      </c>
      <c r="Y121">
        <f t="shared" si="39"/>
        <v>227.65305043989227</v>
      </c>
      <c r="Z121">
        <f t="shared" si="39"/>
        <v>256.02979226900851</v>
      </c>
    </row>
    <row r="122" spans="2:26" x14ac:dyDescent="0.25">
      <c r="B122">
        <f t="shared" si="1"/>
        <v>9.82</v>
      </c>
      <c r="C122">
        <f t="shared" ref="C122:Z122" si="40">(((($AC53-EXP(52.57-6690.9/(273.15+$AE53)-4.681*LN(273.15+$AE53)))/1013)*C53/100*0.2095*(48.998-1.335*$AE53+0.02755*POWER($AE53,2)-0.000322*POWER($AE53,3)+0.000001598*POWER($AE53,4))*32/22.414))*31.25</f>
        <v>255.62075815255275</v>
      </c>
      <c r="D122">
        <f t="shared" si="40"/>
        <v>251.09581823926123</v>
      </c>
      <c r="E122">
        <f t="shared" si="40"/>
        <v>166.68140245571001</v>
      </c>
      <c r="F122">
        <f t="shared" si="40"/>
        <v>221.69649111900563</v>
      </c>
      <c r="G122">
        <f t="shared" si="40"/>
        <v>211.82854305951122</v>
      </c>
      <c r="H122">
        <f t="shared" si="40"/>
        <v>257.25689461837572</v>
      </c>
      <c r="I122">
        <f t="shared" si="40"/>
        <v>93.566554139248268</v>
      </c>
      <c r="J122">
        <f t="shared" si="40"/>
        <v>229.64709175761394</v>
      </c>
      <c r="K122">
        <f t="shared" si="40"/>
        <v>249.05064765698265</v>
      </c>
      <c r="L122">
        <f t="shared" si="40"/>
        <v>216.94146951520779</v>
      </c>
      <c r="M122">
        <f t="shared" si="40"/>
        <v>162.97453077532995</v>
      </c>
      <c r="N122">
        <f t="shared" si="40"/>
        <v>201.29591456077614</v>
      </c>
      <c r="O122">
        <f t="shared" si="40"/>
        <v>256.43882638546427</v>
      </c>
      <c r="P122">
        <f t="shared" si="40"/>
        <v>165.19865378355797</v>
      </c>
      <c r="Q122">
        <f t="shared" si="40"/>
        <v>180.23065756330601</v>
      </c>
      <c r="R122">
        <f t="shared" si="40"/>
        <v>252.32292058862848</v>
      </c>
      <c r="S122">
        <f t="shared" si="40"/>
        <v>221.69649111900563</v>
      </c>
      <c r="T122">
        <f t="shared" si="40"/>
        <v>168.54762061203925</v>
      </c>
      <c r="U122">
        <f t="shared" si="40"/>
        <v>255.21172403609705</v>
      </c>
      <c r="V122">
        <f t="shared" si="40"/>
        <v>206.74118123609307</v>
      </c>
      <c r="W122">
        <f t="shared" si="40"/>
        <v>247.4145111911597</v>
      </c>
      <c r="X122">
        <f t="shared" si="40"/>
        <v>253.55002293799572</v>
      </c>
      <c r="Y122">
        <f t="shared" si="40"/>
        <v>226.86054683925929</v>
      </c>
      <c r="Z122">
        <f t="shared" si="40"/>
        <v>256.43882638546427</v>
      </c>
    </row>
    <row r="123" spans="2:26" x14ac:dyDescent="0.25">
      <c r="B123">
        <f t="shared" si="1"/>
        <v>10.07</v>
      </c>
      <c r="C123">
        <f t="shared" ref="C123:Z123" si="41">(((($AC54-EXP(52.57-6690.9/(273.15+$AE54)-4.681*LN(273.15+$AE54)))/1013)*C54/100*0.2095*(48.998-1.335*$AE54+0.02755*POWER($AE54,2)-0.000322*POWER($AE54,3)+0.000001598*POWER($AE54,4))*32/22.414))*31.25</f>
        <v>255.62075815255275</v>
      </c>
      <c r="D123">
        <f t="shared" si="41"/>
        <v>251.91388647217272</v>
      </c>
      <c r="E123">
        <f t="shared" si="41"/>
        <v>165.55655863545675</v>
      </c>
      <c r="F123">
        <f t="shared" si="41"/>
        <v>221.69649111900563</v>
      </c>
      <c r="G123">
        <f t="shared" si="41"/>
        <v>212.62104666014417</v>
      </c>
      <c r="H123">
        <f t="shared" si="41"/>
        <v>257.66592873483148</v>
      </c>
      <c r="I123">
        <f t="shared" si="41"/>
        <v>92.543968848108918</v>
      </c>
      <c r="J123">
        <f t="shared" si="41"/>
        <v>229.64709175761394</v>
      </c>
      <c r="K123">
        <f t="shared" si="41"/>
        <v>249.45968177343838</v>
      </c>
      <c r="L123">
        <f t="shared" si="41"/>
        <v>216.94146951520779</v>
      </c>
      <c r="M123">
        <f t="shared" si="41"/>
        <v>162.5910612911527</v>
      </c>
      <c r="N123">
        <f t="shared" si="41"/>
        <v>200.14550610824443</v>
      </c>
      <c r="O123">
        <f t="shared" si="41"/>
        <v>256.84786050191991</v>
      </c>
      <c r="P123">
        <f t="shared" si="41"/>
        <v>163.71590511140596</v>
      </c>
      <c r="Q123">
        <f t="shared" si="41"/>
        <v>179.84718807912881</v>
      </c>
      <c r="R123">
        <f t="shared" si="41"/>
        <v>251.09581823926123</v>
      </c>
      <c r="S123">
        <f t="shared" si="41"/>
        <v>220.90398751837267</v>
      </c>
      <c r="T123">
        <f t="shared" si="41"/>
        <v>168.18971576014047</v>
      </c>
      <c r="U123">
        <f t="shared" si="41"/>
        <v>255.21172403609705</v>
      </c>
      <c r="V123">
        <f t="shared" si="41"/>
        <v>206.35771175191579</v>
      </c>
      <c r="W123">
        <f t="shared" si="41"/>
        <v>246.21297347407102</v>
      </c>
      <c r="X123">
        <f t="shared" si="41"/>
        <v>254.80268991964138</v>
      </c>
      <c r="Y123">
        <f t="shared" si="41"/>
        <v>226.86054683925929</v>
      </c>
      <c r="Z123">
        <f t="shared" si="41"/>
        <v>255.21172403609705</v>
      </c>
    </row>
    <row r="124" spans="2:26" x14ac:dyDescent="0.25">
      <c r="B124">
        <f t="shared" si="1"/>
        <v>10.32</v>
      </c>
      <c r="C124">
        <f t="shared" ref="C124:Z124" si="42">(((($AC55-EXP(52.57-6690.9/(273.15+$AE55)-4.681*LN(273.15+$AE55)))/1013)*C55/100*0.2095*(48.998-1.335*$AE55+0.02755*POWER($AE55,2)-0.000322*POWER($AE55,3)+0.000001598*POWER($AE55,4))*32/22.414))*31.25</f>
        <v>255.93273104804686</v>
      </c>
      <c r="D124">
        <f t="shared" si="42"/>
        <v>252.63614369855125</v>
      </c>
      <c r="E124">
        <f t="shared" si="42"/>
        <v>164.0116093725776</v>
      </c>
      <c r="F124">
        <f t="shared" si="42"/>
        <v>221.20356664522149</v>
      </c>
      <c r="G124">
        <f t="shared" si="42"/>
        <v>212.54044175003551</v>
      </c>
      <c r="H124">
        <f t="shared" si="42"/>
        <v>257.56824725244769</v>
      </c>
      <c r="I124">
        <f t="shared" si="42"/>
        <v>91.12891851396256</v>
      </c>
      <c r="J124">
        <f t="shared" si="42"/>
        <v>229.96891130318252</v>
      </c>
      <c r="K124">
        <f t="shared" si="42"/>
        <v>248.95623223864925</v>
      </c>
      <c r="L124">
        <f t="shared" si="42"/>
        <v>216.85922672728162</v>
      </c>
      <c r="M124">
        <f t="shared" si="42"/>
        <v>162.1460987019328</v>
      </c>
      <c r="N124">
        <f t="shared" si="42"/>
        <v>198.91965836025926</v>
      </c>
      <c r="O124">
        <f t="shared" si="42"/>
        <v>256.75048915024723</v>
      </c>
      <c r="P124">
        <f t="shared" si="42"/>
        <v>163.65384020286493</v>
      </c>
      <c r="Q124">
        <f t="shared" si="42"/>
        <v>180.16233189103647</v>
      </c>
      <c r="R124">
        <f t="shared" si="42"/>
        <v>251.81838559635079</v>
      </c>
      <c r="S124">
        <f t="shared" si="42"/>
        <v>221.61244569632174</v>
      </c>
      <c r="T124">
        <f t="shared" si="42"/>
        <v>167.7426307138671</v>
      </c>
      <c r="U124">
        <f t="shared" si="42"/>
        <v>255.1149729458464</v>
      </c>
      <c r="V124">
        <f t="shared" si="42"/>
        <v>206.27948128006327</v>
      </c>
      <c r="W124">
        <f t="shared" si="42"/>
        <v>246.91183698314813</v>
      </c>
      <c r="X124">
        <f t="shared" si="42"/>
        <v>253.86278085185194</v>
      </c>
      <c r="Y124">
        <f t="shared" si="42"/>
        <v>227.18342276756229</v>
      </c>
      <c r="Z124">
        <f t="shared" si="42"/>
        <v>255.5238519969466</v>
      </c>
    </row>
    <row r="125" spans="2:26" x14ac:dyDescent="0.25">
      <c r="B125">
        <f t="shared" si="1"/>
        <v>10.57</v>
      </c>
      <c r="C125">
        <f t="shared" ref="C125:Z125" si="43">(((($AC56-EXP(52.57-6690.9/(273.15+$AE56)-4.681*LN(273.15+$AE56)))/1013)*C56/100*0.2095*(48.998-1.335*$AE56+0.02755*POWER($AE56,2)-0.000322*POWER($AE56,3)+0.000001598*POWER($AE56,4))*32/22.414))*31.25</f>
        <v>255.5238519969466</v>
      </c>
      <c r="D125">
        <f t="shared" si="43"/>
        <v>251.81838559635079</v>
      </c>
      <c r="E125">
        <f t="shared" si="43"/>
        <v>164.0116093725776</v>
      </c>
      <c r="F125">
        <f t="shared" si="43"/>
        <v>221.61244569632174</v>
      </c>
      <c r="G125">
        <f t="shared" si="43"/>
        <v>211.74823858852878</v>
      </c>
      <c r="H125">
        <f t="shared" si="43"/>
        <v>258.41156029534199</v>
      </c>
      <c r="I125">
        <f t="shared" si="43"/>
        <v>90.438935115230919</v>
      </c>
      <c r="J125">
        <f t="shared" si="43"/>
        <v>230.37779035428284</v>
      </c>
      <c r="K125">
        <f t="shared" si="43"/>
        <v>248.13847413644874</v>
      </c>
      <c r="L125">
        <f t="shared" si="43"/>
        <v>216.47590261687515</v>
      </c>
      <c r="M125">
        <f t="shared" si="43"/>
        <v>161.04723625210096</v>
      </c>
      <c r="N125">
        <f t="shared" si="43"/>
        <v>198.12745519875256</v>
      </c>
      <c r="O125">
        <f t="shared" si="43"/>
        <v>256.34161009914709</v>
      </c>
      <c r="P125">
        <f t="shared" si="43"/>
        <v>162.52942281233925</v>
      </c>
      <c r="Q125">
        <f t="shared" si="43"/>
        <v>179.01235955981704</v>
      </c>
      <c r="R125">
        <f t="shared" si="43"/>
        <v>251.00062749415036</v>
      </c>
      <c r="S125">
        <f t="shared" si="43"/>
        <v>221.61244569632174</v>
      </c>
      <c r="T125">
        <f t="shared" si="43"/>
        <v>168.48372399398627</v>
      </c>
      <c r="U125">
        <f t="shared" si="43"/>
        <v>255.1149729458464</v>
      </c>
      <c r="V125">
        <f t="shared" si="43"/>
        <v>206.27948128006327</v>
      </c>
      <c r="W125">
        <f t="shared" si="43"/>
        <v>247.72959508534856</v>
      </c>
      <c r="X125">
        <f t="shared" si="43"/>
        <v>253.45390180075174</v>
      </c>
      <c r="Y125">
        <f t="shared" si="43"/>
        <v>227.18342276756229</v>
      </c>
      <c r="Z125">
        <f t="shared" si="43"/>
        <v>254.29721484364592</v>
      </c>
    </row>
    <row r="126" spans="2:26" x14ac:dyDescent="0.25">
      <c r="B126">
        <f t="shared" si="1"/>
        <v>10.82</v>
      </c>
      <c r="C126">
        <f t="shared" ref="C126:Z126" si="44">(((($AC57-EXP(52.57-6690.9/(273.15+$AE57)-4.681*LN(273.15+$AE57)))/1013)*C57/100*0.2095*(48.998-1.335*$AE57+0.02755*POWER($AE57,2)-0.000322*POWER($AE57,3)+0.000001598*POWER($AE57,4))*32/22.414))*31.25</f>
        <v>256.02979226900851</v>
      </c>
      <c r="D126">
        <f t="shared" si="44"/>
        <v>251.91388647217272</v>
      </c>
      <c r="E126">
        <f t="shared" si="44"/>
        <v>163.71590511140596</v>
      </c>
      <c r="F126">
        <f t="shared" si="44"/>
        <v>220.90398751837267</v>
      </c>
      <c r="G126">
        <f t="shared" si="44"/>
        <v>211.44507357533394</v>
      </c>
      <c r="H126">
        <f t="shared" si="44"/>
        <v>257.66592873483148</v>
      </c>
      <c r="I126">
        <f t="shared" si="44"/>
        <v>88.428063051273142</v>
      </c>
      <c r="J126">
        <f t="shared" si="44"/>
        <v>229.26362227343671</v>
      </c>
      <c r="K126">
        <f t="shared" si="44"/>
        <v>249.45968177343838</v>
      </c>
      <c r="L126">
        <f t="shared" si="44"/>
        <v>216.55800003103056</v>
      </c>
      <c r="M126">
        <f t="shared" si="44"/>
        <v>160.36693828292468</v>
      </c>
      <c r="N126">
        <f t="shared" si="44"/>
        <v>198.99509765571267</v>
      </c>
      <c r="O126">
        <f t="shared" si="44"/>
        <v>256.02979226900851</v>
      </c>
      <c r="P126">
        <f t="shared" si="44"/>
        <v>162.20759180697547</v>
      </c>
      <c r="Q126">
        <f t="shared" si="44"/>
        <v>177.95540529052104</v>
      </c>
      <c r="R126">
        <f t="shared" si="44"/>
        <v>251.50485235571702</v>
      </c>
      <c r="S126">
        <f t="shared" si="44"/>
        <v>221.69649111900563</v>
      </c>
      <c r="T126">
        <f t="shared" si="44"/>
        <v>167.42277679178596</v>
      </c>
      <c r="U126">
        <f t="shared" si="44"/>
        <v>254.39365580318562</v>
      </c>
      <c r="V126">
        <f t="shared" si="44"/>
        <v>205.9742422677385</v>
      </c>
      <c r="W126">
        <f t="shared" si="44"/>
        <v>248.64161354052689</v>
      </c>
      <c r="X126">
        <f t="shared" si="44"/>
        <v>254.80268991964138</v>
      </c>
      <c r="Y126">
        <f t="shared" si="44"/>
        <v>226.86054683925929</v>
      </c>
      <c r="Z126">
        <f t="shared" si="44"/>
        <v>254.80268991964138</v>
      </c>
    </row>
    <row r="127" spans="2:26" x14ac:dyDescent="0.25">
      <c r="B127">
        <f t="shared" si="1"/>
        <v>11.07</v>
      </c>
      <c r="C127">
        <f t="shared" ref="C127:Z127" si="45">(((($AC58-EXP(52.57-6690.9/(273.15+$AE58)-4.681*LN(273.15+$AE58)))/1013)*C58/100*0.2095*(48.998-1.335*$AE58+0.02755*POWER($AE58,2)-0.000322*POWER($AE58,3)+0.000001598*POWER($AE58,4))*32/22.414))*31.25</f>
        <v>254.70609389474615</v>
      </c>
      <c r="D127">
        <f t="shared" si="45"/>
        <v>251.81838559635079</v>
      </c>
      <c r="E127">
        <f t="shared" si="45"/>
        <v>162.52942281233925</v>
      </c>
      <c r="F127">
        <f t="shared" si="45"/>
        <v>221.61244569632174</v>
      </c>
      <c r="G127">
        <f t="shared" si="45"/>
        <v>210.98159036771585</v>
      </c>
      <c r="H127">
        <f t="shared" si="45"/>
        <v>257.56824725244769</v>
      </c>
      <c r="I127">
        <f t="shared" si="45"/>
        <v>87.014573062266521</v>
      </c>
      <c r="J127">
        <f t="shared" si="45"/>
        <v>229.56003225208235</v>
      </c>
      <c r="K127">
        <f t="shared" si="45"/>
        <v>248.95623223864925</v>
      </c>
      <c r="L127">
        <f t="shared" si="45"/>
        <v>216.06702356577492</v>
      </c>
      <c r="M127">
        <f t="shared" si="45"/>
        <v>160.30614297198181</v>
      </c>
      <c r="N127">
        <f t="shared" si="45"/>
        <v>198.12745519875256</v>
      </c>
      <c r="O127">
        <f t="shared" si="45"/>
        <v>256.75048915024723</v>
      </c>
      <c r="P127">
        <f t="shared" si="45"/>
        <v>161.78832953222013</v>
      </c>
      <c r="Q127">
        <f t="shared" si="45"/>
        <v>176.76352477876586</v>
      </c>
      <c r="R127">
        <f t="shared" si="45"/>
        <v>251.40950654525057</v>
      </c>
      <c r="S127">
        <f t="shared" si="45"/>
        <v>221.61244569632174</v>
      </c>
      <c r="T127">
        <f t="shared" si="45"/>
        <v>167.7426307138671</v>
      </c>
      <c r="U127">
        <f t="shared" si="45"/>
        <v>254.29721484364592</v>
      </c>
      <c r="V127">
        <f t="shared" si="45"/>
        <v>205.89615716965682</v>
      </c>
      <c r="W127">
        <f t="shared" si="45"/>
        <v>246.52851287274163</v>
      </c>
      <c r="X127">
        <f t="shared" si="45"/>
        <v>252.63614369855125</v>
      </c>
      <c r="Y127">
        <f t="shared" si="45"/>
        <v>226.77454371646203</v>
      </c>
      <c r="Z127">
        <f t="shared" si="45"/>
        <v>255.1149729458464</v>
      </c>
    </row>
    <row r="128" spans="2:26" x14ac:dyDescent="0.25">
      <c r="B128">
        <f t="shared" si="1"/>
        <v>11.32</v>
      </c>
      <c r="C128">
        <f t="shared" ref="C128:Z128" si="46">(((($AC59-EXP(52.57-6690.9/(273.15+$AE59)-4.681*LN(273.15+$AE59)))/1013)*C59/100*0.2095*(48.998-1.335*$AE59+0.02755*POWER($AE59,2)-0.000322*POWER($AE59,3)+0.000001598*POWER($AE59,4))*32/22.414))*31.25</f>
        <v>255.5238519969466</v>
      </c>
      <c r="D128">
        <f t="shared" si="46"/>
        <v>251.81838559635079</v>
      </c>
      <c r="E128">
        <f t="shared" si="46"/>
        <v>161.78832953222013</v>
      </c>
      <c r="F128">
        <f t="shared" si="46"/>
        <v>220.82024253481504</v>
      </c>
      <c r="G128">
        <f t="shared" si="46"/>
        <v>211.74823858852878</v>
      </c>
      <c r="H128">
        <f t="shared" si="46"/>
        <v>257.56824725244769</v>
      </c>
      <c r="I128">
        <f t="shared" si="46"/>
        <v>85.327946976478103</v>
      </c>
      <c r="J128">
        <f t="shared" si="46"/>
        <v>229.96891130318252</v>
      </c>
      <c r="K128">
        <f t="shared" si="46"/>
        <v>248.95623223864925</v>
      </c>
      <c r="L128">
        <f t="shared" si="46"/>
        <v>214.89149629386176</v>
      </c>
      <c r="M128">
        <f t="shared" si="46"/>
        <v>159.56504969186264</v>
      </c>
      <c r="N128">
        <f t="shared" si="46"/>
        <v>197.74413108834611</v>
      </c>
      <c r="O128">
        <f t="shared" si="46"/>
        <v>256.34161009914709</v>
      </c>
      <c r="P128">
        <f t="shared" si="46"/>
        <v>161.40500542181366</v>
      </c>
      <c r="Q128">
        <f t="shared" si="46"/>
        <v>176.76352477876586</v>
      </c>
      <c r="R128">
        <f t="shared" si="46"/>
        <v>251.00062749415036</v>
      </c>
      <c r="S128">
        <f t="shared" si="46"/>
        <v>221.20356664522149</v>
      </c>
      <c r="T128">
        <f t="shared" si="46"/>
        <v>167.35930660346065</v>
      </c>
      <c r="U128">
        <f t="shared" si="46"/>
        <v>255.1149729458464</v>
      </c>
      <c r="V128">
        <f t="shared" si="46"/>
        <v>205.51283305925037</v>
      </c>
      <c r="W128">
        <f t="shared" si="46"/>
        <v>248.95623223864925</v>
      </c>
      <c r="X128">
        <f t="shared" si="46"/>
        <v>254.29721484364592</v>
      </c>
      <c r="Y128">
        <f t="shared" si="46"/>
        <v>225.98234055495539</v>
      </c>
      <c r="Z128">
        <f t="shared" si="46"/>
        <v>255.1149729458464</v>
      </c>
    </row>
    <row r="129" spans="2:26" x14ac:dyDescent="0.25">
      <c r="B129">
        <f t="shared" si="1"/>
        <v>11.57</v>
      </c>
      <c r="C129">
        <f t="shared" ref="C129:Z129" si="47">(((($AC60-EXP(52.57-6690.9/(273.15+$AE60)-4.681*LN(273.15+$AE60)))/1013)*C60/100*0.2095*(48.998-1.335*$AE60+0.02755*POWER($AE60,2)-0.000322*POWER($AE60,3)+0.000001598*POWER($AE60,4))*32/22.414))*31.25</f>
        <v>255.5238519969466</v>
      </c>
      <c r="D129">
        <f t="shared" si="47"/>
        <v>251.40950654525057</v>
      </c>
      <c r="E129">
        <f t="shared" si="47"/>
        <v>160.66391214169448</v>
      </c>
      <c r="F129">
        <f t="shared" si="47"/>
        <v>221.61244569632174</v>
      </c>
      <c r="G129">
        <f t="shared" si="47"/>
        <v>211.74823858852878</v>
      </c>
      <c r="H129">
        <f t="shared" si="47"/>
        <v>257.97712630354795</v>
      </c>
      <c r="I129">
        <f t="shared" si="47"/>
        <v>84.63796357774649</v>
      </c>
      <c r="J129">
        <f t="shared" si="47"/>
        <v>229.1767081416759</v>
      </c>
      <c r="K129">
        <f t="shared" si="47"/>
        <v>249.36511128974948</v>
      </c>
      <c r="L129">
        <f t="shared" si="47"/>
        <v>215.68369945536847</v>
      </c>
      <c r="M129">
        <f t="shared" si="47"/>
        <v>159.18172558145619</v>
      </c>
      <c r="N129">
        <f t="shared" si="47"/>
        <v>196.97748286753321</v>
      </c>
      <c r="O129">
        <f t="shared" si="47"/>
        <v>256.75048915024723</v>
      </c>
      <c r="P129">
        <f t="shared" si="47"/>
        <v>160.66391214169448</v>
      </c>
      <c r="Q129">
        <f t="shared" si="47"/>
        <v>176.76352477876586</v>
      </c>
      <c r="R129">
        <f t="shared" si="47"/>
        <v>251.81838559635079</v>
      </c>
      <c r="S129">
        <f t="shared" si="47"/>
        <v>220.82024253481504</v>
      </c>
      <c r="T129">
        <f t="shared" si="47"/>
        <v>166.61821332334151</v>
      </c>
      <c r="U129">
        <f t="shared" si="47"/>
        <v>254.70609389474615</v>
      </c>
      <c r="V129">
        <f t="shared" si="47"/>
        <v>204.72062989774366</v>
      </c>
      <c r="W129">
        <f t="shared" si="47"/>
        <v>246.52851287274163</v>
      </c>
      <c r="X129">
        <f t="shared" si="47"/>
        <v>253.86278085185194</v>
      </c>
      <c r="Y129">
        <f t="shared" si="47"/>
        <v>225.98234055495539</v>
      </c>
      <c r="Z129">
        <f t="shared" si="47"/>
        <v>255.5238519969466</v>
      </c>
    </row>
    <row r="130" spans="2:26" x14ac:dyDescent="0.25">
      <c r="B130">
        <f t="shared" si="1"/>
        <v>11.82</v>
      </c>
      <c r="C130">
        <f t="shared" ref="C130:Z130" si="48">(((($AC61-EXP(52.57-6690.9/(273.15+$AE61)-4.681*LN(273.15+$AE61)))/1013)*C61/100*0.2095*(48.998-1.335*$AE61+0.02755*POWER($AE61,2)-0.000322*POWER($AE61,3)+0.000001598*POWER($AE61,4))*32/22.414))*31.25</f>
        <v>255.42701550613762</v>
      </c>
      <c r="D130">
        <f t="shared" si="48"/>
        <v>252.13167747230509</v>
      </c>
      <c r="E130">
        <f t="shared" si="48"/>
        <v>160.60302495120382</v>
      </c>
      <c r="F130">
        <f t="shared" si="48"/>
        <v>221.91163953413513</v>
      </c>
      <c r="G130">
        <f t="shared" si="48"/>
        <v>211.28481300642704</v>
      </c>
      <c r="H130">
        <f t="shared" si="48"/>
        <v>257.47063599223537</v>
      </c>
      <c r="I130">
        <f t="shared" si="48"/>
        <v>83.25198955240549</v>
      </c>
      <c r="J130">
        <f t="shared" si="48"/>
        <v>229.8817594299162</v>
      </c>
      <c r="K130">
        <f t="shared" si="48"/>
        <v>250.08805698620733</v>
      </c>
      <c r="L130">
        <f t="shared" si="48"/>
        <v>215.98514012445179</v>
      </c>
      <c r="M130">
        <f t="shared" si="48"/>
        <v>157.66532050243839</v>
      </c>
      <c r="N130">
        <f t="shared" si="48"/>
        <v>197.66919151780107</v>
      </c>
      <c r="O130">
        <f t="shared" si="48"/>
        <v>256.65318779779625</v>
      </c>
      <c r="P130">
        <f t="shared" si="48"/>
        <v>160.98620379234717</v>
      </c>
      <c r="Q130">
        <f t="shared" si="48"/>
        <v>176.31335743807998</v>
      </c>
      <c r="R130">
        <f t="shared" si="48"/>
        <v>250.49678108342687</v>
      </c>
      <c r="S130">
        <f t="shared" si="48"/>
        <v>221.11973659577231</v>
      </c>
      <c r="T130">
        <f t="shared" si="48"/>
        <v>166.93824845810676</v>
      </c>
      <c r="U130">
        <f t="shared" si="48"/>
        <v>255.01829140891806</v>
      </c>
      <c r="V130">
        <f t="shared" si="48"/>
        <v>204.64304642660952</v>
      </c>
      <c r="W130">
        <f t="shared" si="48"/>
        <v>247.22698830567055</v>
      </c>
      <c r="X130">
        <f t="shared" si="48"/>
        <v>254.60956731169858</v>
      </c>
      <c r="Y130">
        <f t="shared" si="48"/>
        <v>225.89669948202567</v>
      </c>
      <c r="Z130">
        <f t="shared" si="48"/>
        <v>255.83573960335721</v>
      </c>
    </row>
    <row r="131" spans="2:26" x14ac:dyDescent="0.25">
      <c r="B131">
        <f t="shared" si="1"/>
        <v>12.07</v>
      </c>
      <c r="C131">
        <f t="shared" ref="C131:Z131" si="49">(((($AC62-EXP(52.57-6690.9/(273.15+$AE62)-4.681*LN(273.15+$AE62)))/1013)*C62/100*0.2095*(48.998-1.335*$AE62+0.02755*POWER($AE62,2)-0.000322*POWER($AE62,3)+0.000001598*POWER($AE62,4))*32/22.414))*31.25</f>
        <v>254.70609389474615</v>
      </c>
      <c r="D131">
        <f t="shared" si="49"/>
        <v>251.40950654525057</v>
      </c>
      <c r="E131">
        <f t="shared" si="49"/>
        <v>159.18172558145619</v>
      </c>
      <c r="F131">
        <f t="shared" si="49"/>
        <v>221.61244569632174</v>
      </c>
      <c r="G131">
        <f t="shared" si="49"/>
        <v>211.36491447812233</v>
      </c>
      <c r="H131">
        <f t="shared" si="49"/>
        <v>257.56824725244769</v>
      </c>
      <c r="I131">
        <f t="shared" si="49"/>
        <v>82.261354093226416</v>
      </c>
      <c r="J131">
        <f t="shared" si="49"/>
        <v>229.56003225208235</v>
      </c>
      <c r="K131">
        <f t="shared" si="49"/>
        <v>248.95623223864925</v>
      </c>
      <c r="L131">
        <f t="shared" si="49"/>
        <v>216.06702356577492</v>
      </c>
      <c r="M131">
        <f t="shared" si="49"/>
        <v>158.08286313162435</v>
      </c>
      <c r="N131">
        <f t="shared" si="49"/>
        <v>196.21083464672026</v>
      </c>
      <c r="O131">
        <f t="shared" si="49"/>
        <v>257.15936820134743</v>
      </c>
      <c r="P131">
        <f t="shared" si="49"/>
        <v>160.30614297198181</v>
      </c>
      <c r="Q131">
        <f t="shared" si="49"/>
        <v>175.25578327783379</v>
      </c>
      <c r="R131">
        <f t="shared" si="49"/>
        <v>251.00062749415036</v>
      </c>
      <c r="S131">
        <f t="shared" si="49"/>
        <v>220.82024253481504</v>
      </c>
      <c r="T131">
        <f t="shared" si="49"/>
        <v>166.61821332334151</v>
      </c>
      <c r="U131">
        <f t="shared" si="49"/>
        <v>254.70609389474615</v>
      </c>
      <c r="V131">
        <f t="shared" si="49"/>
        <v>205.10395400815014</v>
      </c>
      <c r="W131">
        <f t="shared" si="49"/>
        <v>247.32071603424836</v>
      </c>
      <c r="X131">
        <f t="shared" si="49"/>
        <v>254.70609389474615</v>
      </c>
      <c r="Y131">
        <f t="shared" si="49"/>
        <v>225.57346150385513</v>
      </c>
      <c r="Z131">
        <f t="shared" si="49"/>
        <v>255.1149729458464</v>
      </c>
    </row>
    <row r="132" spans="2:26" x14ac:dyDescent="0.25">
      <c r="B132">
        <f t="shared" si="1"/>
        <v>12.32</v>
      </c>
      <c r="C132">
        <f t="shared" ref="C132:Z132" si="50">(((($AC63-EXP(52.57-6690.9/(273.15+$AE63)-4.681*LN(273.15+$AE63)))/1013)*C63/100*0.2095*(48.998-1.335*$AE63+0.02755*POWER($AE63,2)-0.000322*POWER($AE63,3)+0.000001598*POWER($AE63,4))*32/22.414))*31.25</f>
        <v>255.42701550613762</v>
      </c>
      <c r="D132">
        <f t="shared" si="50"/>
        <v>251.31422927786596</v>
      </c>
      <c r="E132">
        <f t="shared" si="50"/>
        <v>158.38058767257257</v>
      </c>
      <c r="F132">
        <f t="shared" si="50"/>
        <v>222.3203636313547</v>
      </c>
      <c r="G132">
        <f t="shared" si="50"/>
        <v>210.90163416528372</v>
      </c>
      <c r="H132">
        <f t="shared" si="50"/>
        <v>256.65318779779625</v>
      </c>
      <c r="I132">
        <f t="shared" si="50"/>
        <v>81.208369066307782</v>
      </c>
      <c r="J132">
        <f t="shared" si="50"/>
        <v>229.8817594299162</v>
      </c>
      <c r="K132">
        <f t="shared" si="50"/>
        <v>247.63571240289011</v>
      </c>
      <c r="L132">
        <f t="shared" si="50"/>
        <v>214.81005834494565</v>
      </c>
      <c r="M132">
        <f t="shared" si="50"/>
        <v>156.18369565001751</v>
      </c>
      <c r="N132">
        <f t="shared" si="50"/>
        <v>194.98693962979783</v>
      </c>
      <c r="O132">
        <f t="shared" si="50"/>
        <v>257.06191189501578</v>
      </c>
      <c r="P132">
        <f t="shared" si="50"/>
        <v>160.24539136613674</v>
      </c>
      <c r="Q132">
        <f t="shared" si="50"/>
        <v>174.80618732958294</v>
      </c>
      <c r="R132">
        <f t="shared" si="50"/>
        <v>250.49678108342687</v>
      </c>
      <c r="S132">
        <f t="shared" si="50"/>
        <v>220.73655775462902</v>
      </c>
      <c r="T132">
        <f t="shared" si="50"/>
        <v>166.1974360318963</v>
      </c>
      <c r="U132">
        <f t="shared" si="50"/>
        <v>254.60956731169858</v>
      </c>
      <c r="V132">
        <f t="shared" si="50"/>
        <v>205.02622526775286</v>
      </c>
      <c r="W132">
        <f t="shared" si="50"/>
        <v>248.04443650010961</v>
      </c>
      <c r="X132">
        <f t="shared" si="50"/>
        <v>254.20084321447899</v>
      </c>
      <c r="Y132">
        <f t="shared" si="50"/>
        <v>225.89669948202567</v>
      </c>
      <c r="Z132">
        <f t="shared" si="50"/>
        <v>255.42701550613762</v>
      </c>
    </row>
    <row r="133" spans="2:26" x14ac:dyDescent="0.25">
      <c r="B133">
        <f t="shared" si="1"/>
        <v>12.57</v>
      </c>
      <c r="C133">
        <f t="shared" ref="C133:Z133" si="51">(((($AC64-EXP(52.57-6690.9/(273.15+$AE64)-4.681*LN(273.15+$AE64)))/1013)*C64/100*0.2095*(48.998-1.335*$AE64+0.02755*POWER($AE64,2)-0.000322*POWER($AE64,3)+0.000001598*POWER($AE64,4))*32/22.414))*31.25</f>
        <v>255.01829140891806</v>
      </c>
      <c r="D133">
        <f t="shared" si="51"/>
        <v>252.13167747230509</v>
      </c>
      <c r="E133">
        <f t="shared" si="51"/>
        <v>158.0229540875055</v>
      </c>
      <c r="F133">
        <f t="shared" si="51"/>
        <v>222.70354247249804</v>
      </c>
      <c r="G133">
        <f t="shared" si="51"/>
        <v>210.90163416528372</v>
      </c>
      <c r="H133">
        <f t="shared" si="51"/>
        <v>257.06191189501578</v>
      </c>
      <c r="I133">
        <f t="shared" si="51"/>
        <v>80.18655882325892</v>
      </c>
      <c r="J133">
        <f t="shared" si="51"/>
        <v>229.08985649155335</v>
      </c>
      <c r="K133">
        <f t="shared" si="51"/>
        <v>248.86188469454876</v>
      </c>
      <c r="L133">
        <f t="shared" si="51"/>
        <v>215.6019612833085</v>
      </c>
      <c r="M133">
        <f t="shared" si="51"/>
        <v>155.80051680887419</v>
      </c>
      <c r="N133">
        <f t="shared" si="51"/>
        <v>195.75329731208444</v>
      </c>
      <c r="O133">
        <f t="shared" si="51"/>
        <v>256.65318779779625</v>
      </c>
      <c r="P133">
        <f t="shared" si="51"/>
        <v>159.86221252499342</v>
      </c>
      <c r="Q133">
        <f t="shared" si="51"/>
        <v>174.42300848843962</v>
      </c>
      <c r="R133">
        <f t="shared" si="51"/>
        <v>250.08805698620733</v>
      </c>
      <c r="S133">
        <f t="shared" si="51"/>
        <v>219.94465481626614</v>
      </c>
      <c r="T133">
        <f t="shared" si="51"/>
        <v>165.81425719075301</v>
      </c>
      <c r="U133">
        <f t="shared" si="51"/>
        <v>254.60956731169858</v>
      </c>
      <c r="V133">
        <f t="shared" si="51"/>
        <v>204.64304642660952</v>
      </c>
      <c r="W133">
        <f t="shared" si="51"/>
        <v>247.63571240289011</v>
      </c>
      <c r="X133">
        <f t="shared" si="51"/>
        <v>255.01829140891806</v>
      </c>
      <c r="Y133">
        <f t="shared" si="51"/>
        <v>225.10479654366287</v>
      </c>
      <c r="Z133">
        <f t="shared" si="51"/>
        <v>253.76657386118322</v>
      </c>
    </row>
    <row r="134" spans="2:26" x14ac:dyDescent="0.25">
      <c r="B134">
        <f t="shared" si="1"/>
        <v>12.82</v>
      </c>
      <c r="C134">
        <f t="shared" ref="C134:Z134" si="52">(((($AC65-EXP(52.57-6690.9/(273.15+$AE65)-4.681*LN(273.15+$AE65)))/1013)*C65/100*0.2095*(48.998-1.335*$AE65+0.02755*POWER($AE65,2)-0.000322*POWER($AE65,3)+0.000001598*POWER($AE65,4))*32/22.414))*31.25</f>
        <v>256.14738710957602</v>
      </c>
      <c r="D134">
        <f t="shared" si="52"/>
        <v>251.62758972961447</v>
      </c>
      <c r="E134">
        <f t="shared" si="52"/>
        <v>157.22255631877775</v>
      </c>
      <c r="F134">
        <f t="shared" si="52"/>
        <v>221.82756971596919</v>
      </c>
      <c r="G134">
        <f t="shared" si="52"/>
        <v>210.03013248691687</v>
      </c>
      <c r="H134">
        <f t="shared" si="52"/>
        <v>257.37309487363342</v>
      </c>
      <c r="I134">
        <f t="shared" si="52"/>
        <v>79.466720036387244</v>
      </c>
      <c r="J134">
        <f t="shared" si="52"/>
        <v>230.20323943702797</v>
      </c>
      <c r="K134">
        <f t="shared" si="52"/>
        <v>249.17617420149963</v>
      </c>
      <c r="L134">
        <f t="shared" si="52"/>
        <v>215.90331552302516</v>
      </c>
      <c r="M134">
        <f t="shared" si="52"/>
        <v>155.74149277054175</v>
      </c>
      <c r="N134">
        <f t="shared" si="52"/>
        <v>195.29610373981038</v>
      </c>
      <c r="O134">
        <f t="shared" si="52"/>
        <v>257.37309487363342</v>
      </c>
      <c r="P134">
        <f t="shared" si="52"/>
        <v>160.54218151309982</v>
      </c>
      <c r="Q134">
        <f t="shared" si="52"/>
        <v>174.73996311343123</v>
      </c>
      <c r="R134">
        <f t="shared" si="52"/>
        <v>250.81045122024281</v>
      </c>
      <c r="S134">
        <f t="shared" si="52"/>
        <v>221.03596678501543</v>
      </c>
      <c r="T134">
        <f t="shared" si="52"/>
        <v>165.36840583407584</v>
      </c>
      <c r="U134">
        <f t="shared" si="52"/>
        <v>255.33024860020441</v>
      </c>
      <c r="V134">
        <f t="shared" si="52"/>
        <v>204.5655187054943</v>
      </c>
      <c r="W134">
        <f t="shared" si="52"/>
        <v>247.5418971827564</v>
      </c>
      <c r="X134">
        <f t="shared" si="52"/>
        <v>254.51311009083284</v>
      </c>
      <c r="Y134">
        <f t="shared" si="52"/>
        <v>225.01951701820198</v>
      </c>
      <c r="Z134">
        <f t="shared" si="52"/>
        <v>254.92167934551861</v>
      </c>
    </row>
    <row r="135" spans="2:26" x14ac:dyDescent="0.25">
      <c r="B135">
        <f t="shared" si="1"/>
        <v>13.07</v>
      </c>
      <c r="C135">
        <f t="shared" ref="C135:Z135" si="53">(((($AC66-EXP(52.57-6690.9/(273.15+$AE66)-4.681*LN(273.15+$AE66)))/1013)*C66/100*0.2095*(48.998-1.335*$AE66+0.02755*POWER($AE66,2)-0.000322*POWER($AE66,3)+0.000001598*POWER($AE66,4))*32/22.414))*31.25</f>
        <v>255.37862336005446</v>
      </c>
      <c r="D135">
        <f t="shared" si="53"/>
        <v>251.26661632325391</v>
      </c>
      <c r="E135">
        <f t="shared" si="53"/>
        <v>156.15410573291064</v>
      </c>
      <c r="F135">
        <f t="shared" si="53"/>
        <v>221.07784416487968</v>
      </c>
      <c r="G135">
        <f t="shared" si="53"/>
        <v>210.45303095178011</v>
      </c>
      <c r="H135">
        <f t="shared" si="53"/>
        <v>257.83050333230824</v>
      </c>
      <c r="I135">
        <f t="shared" si="53"/>
        <v>78.485699528497605</v>
      </c>
      <c r="J135">
        <f t="shared" si="53"/>
        <v>228.63780741266203</v>
      </c>
      <c r="K135">
        <f t="shared" si="53"/>
        <v>248.40608968895793</v>
      </c>
      <c r="L135">
        <f t="shared" si="53"/>
        <v>215.17800798164407</v>
      </c>
      <c r="M135">
        <f t="shared" si="53"/>
        <v>154.67276158300731</v>
      </c>
      <c r="N135">
        <f t="shared" si="53"/>
        <v>193.77513905717908</v>
      </c>
      <c r="O135">
        <f t="shared" si="53"/>
        <v>257.01321000822361</v>
      </c>
      <c r="P135">
        <f t="shared" si="53"/>
        <v>159.83192569129125</v>
      </c>
      <c r="Q135">
        <f t="shared" si="53"/>
        <v>174.00685678088317</v>
      </c>
      <c r="R135">
        <f t="shared" si="53"/>
        <v>250.04067633712705</v>
      </c>
      <c r="S135">
        <f t="shared" si="53"/>
        <v>220.28609125717273</v>
      </c>
      <c r="T135">
        <f t="shared" si="53"/>
        <v>164.65906438666582</v>
      </c>
      <c r="U135">
        <f t="shared" si="53"/>
        <v>255.37862336005446</v>
      </c>
      <c r="V135">
        <f t="shared" si="53"/>
        <v>204.60427560129978</v>
      </c>
      <c r="W135">
        <f t="shared" si="53"/>
        <v>247.58879636487333</v>
      </c>
      <c r="X135">
        <f t="shared" si="53"/>
        <v>253.71849629550775</v>
      </c>
      <c r="Y135">
        <f t="shared" si="53"/>
        <v>225.85390202749898</v>
      </c>
      <c r="Z135">
        <f t="shared" si="53"/>
        <v>254.1526833739276</v>
      </c>
    </row>
    <row r="136" spans="2:26" x14ac:dyDescent="0.25">
      <c r="B136">
        <f t="shared" si="1"/>
        <v>13.32</v>
      </c>
      <c r="C136">
        <f t="shared" ref="C136:Z136" si="54">(((($AC67-EXP(52.57-6690.9/(273.15+$AE67)-4.681*LN(273.15+$AE67)))/1013)*C67/100*0.2095*(48.998-1.335*$AE67+0.02755*POWER($AE67,2)-0.000322*POWER($AE67,3)+0.000001598*POWER($AE67,4))*32/22.414))*31.25</f>
        <v>254.92167934551861</v>
      </c>
      <c r="D136">
        <f t="shared" si="54"/>
        <v>252.03615898430022</v>
      </c>
      <c r="E136">
        <f t="shared" si="54"/>
        <v>156.48202454465977</v>
      </c>
      <c r="F136">
        <f t="shared" si="54"/>
        <v>221.82756971596919</v>
      </c>
      <c r="G136">
        <f t="shared" si="54"/>
        <v>210.4131661631848</v>
      </c>
      <c r="H136">
        <f t="shared" si="54"/>
        <v>257.78166412831922</v>
      </c>
      <c r="I136">
        <f t="shared" si="54"/>
        <v>78.113334380240559</v>
      </c>
      <c r="J136">
        <f t="shared" si="54"/>
        <v>228.59449799670264</v>
      </c>
      <c r="K136">
        <f t="shared" si="54"/>
        <v>248.76760494681383</v>
      </c>
      <c r="L136">
        <f t="shared" si="54"/>
        <v>214.7286789158035</v>
      </c>
      <c r="M136">
        <f t="shared" si="54"/>
        <v>154.28596480072358</v>
      </c>
      <c r="N136">
        <f t="shared" si="54"/>
        <v>194.12146713258863</v>
      </c>
      <c r="O136">
        <f t="shared" si="54"/>
        <v>257.37309487363342</v>
      </c>
      <c r="P136">
        <f t="shared" si="54"/>
        <v>160.54218151309982</v>
      </c>
      <c r="Q136">
        <f t="shared" si="54"/>
        <v>173.23336398677739</v>
      </c>
      <c r="R136">
        <f t="shared" si="54"/>
        <v>249.99331271087124</v>
      </c>
      <c r="S136">
        <f t="shared" si="54"/>
        <v>221.44453603970123</v>
      </c>
      <c r="T136">
        <f t="shared" si="54"/>
        <v>165.01090773622573</v>
      </c>
      <c r="U136">
        <f t="shared" si="54"/>
        <v>255.73881785489027</v>
      </c>
      <c r="V136">
        <f t="shared" si="54"/>
        <v>204.94855238176223</v>
      </c>
      <c r="W136">
        <f t="shared" si="54"/>
        <v>249.17617420149963</v>
      </c>
      <c r="X136">
        <f t="shared" si="54"/>
        <v>253.26186674835759</v>
      </c>
      <c r="Y136">
        <f t="shared" si="54"/>
        <v>225.81111994915574</v>
      </c>
      <c r="Z136">
        <f t="shared" si="54"/>
        <v>255.33024860020441</v>
      </c>
    </row>
    <row r="137" spans="2:26" x14ac:dyDescent="0.25">
      <c r="B137">
        <f t="shared" si="1"/>
        <v>13.57</v>
      </c>
      <c r="C137">
        <f t="shared" ref="C137:Z137" si="55">(((($AC68-EXP(52.57-6690.9/(273.15+$AE68)-4.681*LN(273.15+$AE68)))/1013)*C68/100*0.2095*(48.998-1.335*$AE68+0.02755*POWER($AE68,2)-0.000322*POWER($AE68,3)+0.000001598*POWER($AE68,4))*32/22.414))*31.25</f>
        <v>255.73881785489027</v>
      </c>
      <c r="D137">
        <f t="shared" si="55"/>
        <v>251.21902047492861</v>
      </c>
      <c r="E137">
        <f t="shared" si="55"/>
        <v>155.74149277054175</v>
      </c>
      <c r="F137">
        <f t="shared" si="55"/>
        <v>221.44453603970123</v>
      </c>
      <c r="G137">
        <f t="shared" si="55"/>
        <v>210.4131661631848</v>
      </c>
      <c r="H137">
        <f t="shared" si="55"/>
        <v>257.37309487363342</v>
      </c>
      <c r="I137">
        <f t="shared" si="55"/>
        <v>77.449409341376153</v>
      </c>
      <c r="J137">
        <f t="shared" si="55"/>
        <v>228.59449799670264</v>
      </c>
      <c r="K137">
        <f t="shared" si="55"/>
        <v>249.58474345618544</v>
      </c>
      <c r="L137">
        <f t="shared" si="55"/>
        <v>215.1372481704893</v>
      </c>
      <c r="M137">
        <f t="shared" si="55"/>
        <v>152.80490125248758</v>
      </c>
      <c r="N137">
        <f t="shared" si="55"/>
        <v>193.35539978005275</v>
      </c>
      <c r="O137">
        <f t="shared" si="55"/>
        <v>256.55595636426182</v>
      </c>
      <c r="P137">
        <f t="shared" si="55"/>
        <v>161.28271328721783</v>
      </c>
      <c r="Q137">
        <f t="shared" si="55"/>
        <v>172.49283221265935</v>
      </c>
      <c r="R137">
        <f t="shared" si="55"/>
        <v>250.81045122024281</v>
      </c>
      <c r="S137">
        <f t="shared" si="55"/>
        <v>220.65293310874748</v>
      </c>
      <c r="T137">
        <f t="shared" si="55"/>
        <v>163.88734228583982</v>
      </c>
      <c r="U137">
        <f t="shared" si="55"/>
        <v>254.92167934551861</v>
      </c>
      <c r="V137">
        <f t="shared" si="55"/>
        <v>204.94855238176223</v>
      </c>
      <c r="W137">
        <f t="shared" si="55"/>
        <v>247.13332792807066</v>
      </c>
      <c r="X137">
        <f t="shared" si="55"/>
        <v>254.92167934551861</v>
      </c>
      <c r="Y137">
        <f t="shared" si="55"/>
        <v>225.01951701820198</v>
      </c>
      <c r="Z137">
        <f t="shared" si="55"/>
        <v>254.51311009083284</v>
      </c>
    </row>
    <row r="138" spans="2:26" x14ac:dyDescent="0.25">
      <c r="B138">
        <f t="shared" si="1"/>
        <v>13.82</v>
      </c>
      <c r="C138">
        <f t="shared" ref="C138:Z138" si="56">(((($AC69-EXP(52.57-6690.9/(273.15+$AE69)-4.681*LN(273.15+$AE69)))/1013)*C69/100*0.2095*(48.998-1.335*$AE69+0.02755*POWER($AE69,2)-0.000322*POWER($AE69,3)+0.000001598*POWER($AE69,4))*32/22.414))*31.25</f>
        <v>255.73881785489027</v>
      </c>
      <c r="D138">
        <f t="shared" si="56"/>
        <v>251.21902047492861</v>
      </c>
      <c r="E138">
        <f t="shared" si="56"/>
        <v>154.28596480072358</v>
      </c>
      <c r="F138">
        <f t="shared" si="56"/>
        <v>220.65293310874748</v>
      </c>
      <c r="G138">
        <f t="shared" si="56"/>
        <v>209.64709881064886</v>
      </c>
      <c r="H138">
        <f t="shared" si="56"/>
        <v>257.78166412831922</v>
      </c>
      <c r="I138">
        <f t="shared" si="56"/>
        <v>76.427986204661636</v>
      </c>
      <c r="J138">
        <f t="shared" si="56"/>
        <v>229.3861009276564</v>
      </c>
      <c r="K138">
        <f t="shared" si="56"/>
        <v>248.76760494681383</v>
      </c>
      <c r="L138">
        <f t="shared" si="56"/>
        <v>215.1372481704893</v>
      </c>
      <c r="M138">
        <f t="shared" si="56"/>
        <v>152.06436947836954</v>
      </c>
      <c r="N138">
        <f t="shared" si="56"/>
        <v>192.20629875124894</v>
      </c>
      <c r="O138">
        <f t="shared" si="56"/>
        <v>255.73881785489027</v>
      </c>
      <c r="P138">
        <f t="shared" si="56"/>
        <v>161.66574696348576</v>
      </c>
      <c r="Q138">
        <f t="shared" si="56"/>
        <v>171.7267648601235</v>
      </c>
      <c r="R138">
        <f t="shared" si="56"/>
        <v>249.99331271087124</v>
      </c>
      <c r="S138">
        <f t="shared" si="56"/>
        <v>220.2443638540617</v>
      </c>
      <c r="T138">
        <f t="shared" si="56"/>
        <v>162.7893124138717</v>
      </c>
      <c r="U138">
        <f t="shared" si="56"/>
        <v>254.10454083614704</v>
      </c>
      <c r="V138">
        <f t="shared" si="56"/>
        <v>204.94855238176223</v>
      </c>
      <c r="W138">
        <f t="shared" si="56"/>
        <v>246.3417249971169</v>
      </c>
      <c r="X138">
        <f t="shared" si="56"/>
        <v>254.51311009083284</v>
      </c>
      <c r="Y138">
        <f t="shared" si="56"/>
        <v>225.01951701820198</v>
      </c>
      <c r="Z138">
        <f t="shared" si="56"/>
        <v>254.51311009083284</v>
      </c>
    </row>
    <row r="139" spans="2:26" x14ac:dyDescent="0.25">
      <c r="B139">
        <f t="shared" si="1"/>
        <v>14.07</v>
      </c>
      <c r="C139">
        <f t="shared" ref="C139:Z139" si="57">(((($AC70-EXP(52.57-6690.9/(273.15+$AE70)-4.681*LN(273.15+$AE70)))/1013)*C70/100*0.2095*(48.998-1.335*$AE70+0.02755*POWER($AE70,2)-0.000322*POWER($AE70,3)+0.000001598*POWER($AE70,4))*32/22.414))*31.25</f>
        <v>255.33024860020441</v>
      </c>
      <c r="D139">
        <f t="shared" si="57"/>
        <v>251.62758972961447</v>
      </c>
      <c r="E139">
        <f t="shared" si="57"/>
        <v>153.90293112445565</v>
      </c>
      <c r="F139">
        <f t="shared" si="57"/>
        <v>220.2443638540617</v>
      </c>
      <c r="G139">
        <f t="shared" si="57"/>
        <v>209.64709881064886</v>
      </c>
      <c r="H139">
        <f t="shared" si="57"/>
        <v>257.37309487363342</v>
      </c>
      <c r="I139">
        <f t="shared" si="57"/>
        <v>75.76406116579723</v>
      </c>
      <c r="J139">
        <f t="shared" si="57"/>
        <v>229.3861009276564</v>
      </c>
      <c r="K139">
        <f t="shared" si="57"/>
        <v>248.76760494681383</v>
      </c>
      <c r="L139">
        <f t="shared" si="57"/>
        <v>214.34564523953557</v>
      </c>
      <c r="M139">
        <f t="shared" si="57"/>
        <v>151.34937328266943</v>
      </c>
      <c r="N139">
        <f t="shared" si="57"/>
        <v>192.58933242751695</v>
      </c>
      <c r="O139">
        <f t="shared" si="57"/>
        <v>256.14738710957602</v>
      </c>
      <c r="P139">
        <f t="shared" si="57"/>
        <v>161.28271328721783</v>
      </c>
      <c r="Q139">
        <f t="shared" si="57"/>
        <v>170.60319940973756</v>
      </c>
      <c r="R139">
        <f t="shared" si="57"/>
        <v>249.58474345618544</v>
      </c>
      <c r="S139">
        <f t="shared" si="57"/>
        <v>221.44453603970123</v>
      </c>
      <c r="T139">
        <f t="shared" si="57"/>
        <v>162.40627873760377</v>
      </c>
      <c r="U139">
        <f t="shared" si="57"/>
        <v>255.33024860020441</v>
      </c>
      <c r="V139">
        <f t="shared" si="57"/>
        <v>204.5655187054943</v>
      </c>
      <c r="W139">
        <f t="shared" si="57"/>
        <v>247.95046643744223</v>
      </c>
      <c r="X139">
        <f t="shared" si="57"/>
        <v>254.51311009083284</v>
      </c>
      <c r="Y139">
        <f t="shared" si="57"/>
        <v>225.01951701820198</v>
      </c>
      <c r="Z139">
        <f t="shared" si="57"/>
        <v>254.51311009083284</v>
      </c>
    </row>
    <row r="140" spans="2:26" x14ac:dyDescent="0.25">
      <c r="B140">
        <f t="shared" si="1"/>
        <v>14.32</v>
      </c>
      <c r="C140">
        <f t="shared" ref="C140:Z140" si="58">(((($AC71-EXP(52.57-6690.9/(273.15+$AE71)-4.681*LN(273.15+$AE71)))/1013)*C71/100*0.2095*(48.998-1.335*$AE71+0.02755*POWER($AE71,2)-0.000322*POWER($AE71,3)+0.000001598*POWER($AE71,4))*32/22.414))*31.25</f>
        <v>255.33024860020441</v>
      </c>
      <c r="D140">
        <f t="shared" si="58"/>
        <v>251.21902047492861</v>
      </c>
      <c r="E140">
        <f t="shared" si="58"/>
        <v>153.16239935033767</v>
      </c>
      <c r="F140">
        <f t="shared" si="58"/>
        <v>219.8613301777938</v>
      </c>
      <c r="G140">
        <f t="shared" si="58"/>
        <v>208.85549587969516</v>
      </c>
      <c r="H140">
        <f t="shared" si="58"/>
        <v>258.21576896142284</v>
      </c>
      <c r="I140">
        <f t="shared" si="58"/>
        <v>74.078712990218335</v>
      </c>
      <c r="J140">
        <f t="shared" si="58"/>
        <v>229.0030672513885</v>
      </c>
      <c r="K140">
        <f t="shared" si="58"/>
        <v>248.76760494681383</v>
      </c>
      <c r="L140">
        <f t="shared" si="58"/>
        <v>215.1372481704893</v>
      </c>
      <c r="M140">
        <f t="shared" si="58"/>
        <v>150.25134341070137</v>
      </c>
      <c r="N140">
        <f t="shared" si="58"/>
        <v>192.20629875124894</v>
      </c>
      <c r="O140">
        <f t="shared" si="58"/>
        <v>255.73881785489027</v>
      </c>
      <c r="P140">
        <f t="shared" si="58"/>
        <v>162.02324506133587</v>
      </c>
      <c r="Q140">
        <f t="shared" si="58"/>
        <v>170.60319940973756</v>
      </c>
      <c r="R140">
        <f t="shared" si="58"/>
        <v>249.58474345618544</v>
      </c>
      <c r="S140">
        <f t="shared" si="58"/>
        <v>219.8613301777938</v>
      </c>
      <c r="T140">
        <f t="shared" si="58"/>
        <v>162.02324506133587</v>
      </c>
      <c r="U140">
        <f t="shared" si="58"/>
        <v>254.92167934551861</v>
      </c>
      <c r="V140">
        <f t="shared" si="58"/>
        <v>204.5655187054943</v>
      </c>
      <c r="W140">
        <f t="shared" si="58"/>
        <v>248.35903569212806</v>
      </c>
      <c r="X140">
        <f t="shared" si="58"/>
        <v>254.92167934551861</v>
      </c>
      <c r="Y140">
        <f t="shared" si="58"/>
        <v>225.40255069446988</v>
      </c>
      <c r="Z140">
        <f t="shared" si="58"/>
        <v>255.33024860020441</v>
      </c>
    </row>
    <row r="141" spans="2:26" x14ac:dyDescent="0.25">
      <c r="B141">
        <f t="shared" si="1"/>
        <v>14.57</v>
      </c>
      <c r="C141">
        <f t="shared" ref="C141:Z141" si="59">(((($AC72-EXP(52.57-6690.9/(273.15+$AE72)-4.681*LN(273.15+$AE72)))/1013)*C72/100*0.2095*(48.998-1.335*$AE72+0.02755*POWER($AE72,2)-0.000322*POWER($AE72,3)+0.000001598*POWER($AE72,4))*32/22.414))*31.25</f>
        <v>255.28189121660543</v>
      </c>
      <c r="D141">
        <f t="shared" si="59"/>
        <v>251.17144172306871</v>
      </c>
      <c r="E141">
        <f t="shared" si="59"/>
        <v>152.77596130014672</v>
      </c>
      <c r="F141">
        <f t="shared" si="59"/>
        <v>219.02823729845565</v>
      </c>
      <c r="G141">
        <f t="shared" si="59"/>
        <v>209.60739342817587</v>
      </c>
      <c r="H141">
        <f t="shared" si="59"/>
        <v>257.32435059227589</v>
      </c>
      <c r="I141">
        <f t="shared" si="59"/>
        <v>74.728482407341147</v>
      </c>
      <c r="J141">
        <f t="shared" si="59"/>
        <v>229.75114902072531</v>
      </c>
      <c r="K141">
        <f t="shared" si="59"/>
        <v>248.72049047226426</v>
      </c>
      <c r="L141">
        <f t="shared" si="59"/>
        <v>214.30504999221785</v>
      </c>
      <c r="M141">
        <f t="shared" si="59"/>
        <v>150.22288708055871</v>
      </c>
      <c r="N141">
        <f t="shared" si="59"/>
        <v>191.02101310957511</v>
      </c>
      <c r="O141">
        <f t="shared" si="59"/>
        <v>255.69038309173953</v>
      </c>
      <c r="P141">
        <f t="shared" si="59"/>
        <v>161.25216770917888</v>
      </c>
      <c r="Q141">
        <f t="shared" si="59"/>
        <v>169.44753595405643</v>
      </c>
      <c r="R141">
        <f t="shared" si="59"/>
        <v>249.94596609766651</v>
      </c>
      <c r="S141">
        <f t="shared" si="59"/>
        <v>219.02823729845565</v>
      </c>
      <c r="T141">
        <f t="shared" si="59"/>
        <v>161.63512884211713</v>
      </c>
      <c r="U141">
        <f t="shared" si="59"/>
        <v>254.87339934147136</v>
      </c>
      <c r="V141">
        <f t="shared" si="59"/>
        <v>204.14381459825756</v>
      </c>
      <c r="W141">
        <f t="shared" si="59"/>
        <v>247.0865229717279</v>
      </c>
      <c r="X141">
        <f t="shared" si="59"/>
        <v>253.62239297387325</v>
      </c>
      <c r="Y141">
        <f t="shared" si="59"/>
        <v>224.97690023009577</v>
      </c>
      <c r="Z141">
        <f t="shared" si="59"/>
        <v>254.46490746633725</v>
      </c>
    </row>
    <row r="142" spans="2:26" x14ac:dyDescent="0.25">
      <c r="B142">
        <f t="shared" si="1"/>
        <v>14.82</v>
      </c>
      <c r="C142">
        <f t="shared" ref="C142:Z142" si="60">(((($AC73-EXP(52.57-6690.9/(273.15+$AE73)-4.681*LN(273.15+$AE73)))/1013)*C73/100*0.2095*(48.998-1.335*$AE73+0.02755*POWER($AE73,2)-0.000322*POWER($AE73,3)+0.000001598*POWER($AE73,4))*32/22.414))*31.25</f>
        <v>255.28189121660543</v>
      </c>
      <c r="D142">
        <f t="shared" si="60"/>
        <v>251.17144172306871</v>
      </c>
      <c r="E142">
        <f t="shared" si="60"/>
        <v>151.67813938572385</v>
      </c>
      <c r="F142">
        <f t="shared" si="60"/>
        <v>218.61974542332155</v>
      </c>
      <c r="G142">
        <f t="shared" si="60"/>
        <v>209.60739342817587</v>
      </c>
      <c r="H142">
        <f t="shared" si="60"/>
        <v>257.32435059227589</v>
      </c>
      <c r="I142">
        <f t="shared" si="60"/>
        <v>73.400883813155389</v>
      </c>
      <c r="J142">
        <f t="shared" si="60"/>
        <v>228.16824300458077</v>
      </c>
      <c r="K142">
        <f t="shared" si="60"/>
        <v>249.12898234739833</v>
      </c>
      <c r="L142">
        <f t="shared" si="60"/>
        <v>214.30504999221785</v>
      </c>
      <c r="M142">
        <f t="shared" si="60"/>
        <v>149.48249555687818</v>
      </c>
      <c r="N142">
        <f t="shared" si="60"/>
        <v>191.02101310957511</v>
      </c>
      <c r="O142">
        <f t="shared" si="60"/>
        <v>256.91585871714176</v>
      </c>
      <c r="P142">
        <f t="shared" si="60"/>
        <v>161.63512884211713</v>
      </c>
      <c r="Q142">
        <f t="shared" si="60"/>
        <v>168.70714443037591</v>
      </c>
      <c r="R142">
        <f t="shared" si="60"/>
        <v>248.72049047226426</v>
      </c>
      <c r="S142">
        <f t="shared" si="60"/>
        <v>220.99410444753843</v>
      </c>
      <c r="T142">
        <f t="shared" si="60"/>
        <v>161.63512884211713</v>
      </c>
      <c r="U142">
        <f t="shared" si="60"/>
        <v>255.28189121660543</v>
      </c>
      <c r="V142">
        <f t="shared" si="60"/>
        <v>204.14381459825756</v>
      </c>
      <c r="W142">
        <f t="shared" si="60"/>
        <v>246.67803109659383</v>
      </c>
      <c r="X142">
        <f t="shared" si="60"/>
        <v>254.05641559120318</v>
      </c>
      <c r="Y142">
        <f t="shared" si="60"/>
        <v>224.5684083549616</v>
      </c>
      <c r="Z142">
        <f t="shared" si="60"/>
        <v>254.05641559120318</v>
      </c>
    </row>
    <row r="143" spans="2:26" x14ac:dyDescent="0.25">
      <c r="B143">
        <f t="shared" si="1"/>
        <v>15.07</v>
      </c>
      <c r="C143">
        <f t="shared" ref="C143:Z143" si="61">(((($AC74-EXP(52.57-6690.9/(273.15+$AE74)-4.681*LN(273.15+$AE74)))/1013)*C74/100*0.2095*(48.998-1.335*$AE74+0.02755*POWER($AE74,2)-0.000322*POWER($AE74,3)+0.000001598*POWER($AE74,4))*32/22.414))*31.25</f>
        <v>255.33024860020441</v>
      </c>
      <c r="D143">
        <f t="shared" si="61"/>
        <v>251.62758972961447</v>
      </c>
      <c r="E143">
        <f t="shared" si="61"/>
        <v>150.60884150855142</v>
      </c>
      <c r="F143">
        <f t="shared" si="61"/>
        <v>218.66115799215427</v>
      </c>
      <c r="G143">
        <f t="shared" si="61"/>
        <v>208.06389294874143</v>
      </c>
      <c r="H143">
        <f t="shared" si="61"/>
        <v>257.78166412831922</v>
      </c>
      <c r="I143">
        <f t="shared" si="61"/>
        <v>72.725327334071622</v>
      </c>
      <c r="J143">
        <f t="shared" si="61"/>
        <v>229.79467018234217</v>
      </c>
      <c r="K143">
        <f t="shared" si="61"/>
        <v>249.17617420149963</v>
      </c>
      <c r="L143">
        <f t="shared" si="61"/>
        <v>214.34564523953557</v>
      </c>
      <c r="M143">
        <f t="shared" si="61"/>
        <v>148.41278176461529</v>
      </c>
      <c r="N143">
        <f t="shared" si="61"/>
        <v>190.29113036990938</v>
      </c>
      <c r="O143">
        <f t="shared" si="61"/>
        <v>256.14738710957602</v>
      </c>
      <c r="P143">
        <f t="shared" si="61"/>
        <v>162.40627873760377</v>
      </c>
      <c r="Q143">
        <f t="shared" si="61"/>
        <v>168.73910218523358</v>
      </c>
      <c r="R143">
        <f t="shared" si="61"/>
        <v>249.17617420149963</v>
      </c>
      <c r="S143">
        <f t="shared" si="61"/>
        <v>220.65293310874748</v>
      </c>
      <c r="T143">
        <f t="shared" si="61"/>
        <v>160.54218151309982</v>
      </c>
      <c r="U143">
        <f t="shared" si="61"/>
        <v>254.92167934551861</v>
      </c>
      <c r="V143">
        <f t="shared" si="61"/>
        <v>203.79945135295844</v>
      </c>
      <c r="W143">
        <f t="shared" si="61"/>
        <v>247.95046643744223</v>
      </c>
      <c r="X143">
        <f t="shared" si="61"/>
        <v>254.51311009083284</v>
      </c>
      <c r="Y143">
        <f t="shared" si="61"/>
        <v>224.61094776351618</v>
      </c>
      <c r="Z143">
        <f t="shared" si="61"/>
        <v>254.92167934551861</v>
      </c>
    </row>
    <row r="144" spans="2:26" x14ac:dyDescent="0.25">
      <c r="B144">
        <f t="shared" si="1"/>
        <v>15.32</v>
      </c>
      <c r="C144">
        <f t="shared" ref="C144:Z144" si="62">(((($AC75-EXP(52.57-6690.9/(273.15+$AE75)-4.681*LN(273.15+$AE75)))/1013)*C75/100*0.2095*(48.998-1.335*$AE75+0.02755*POWER($AE75,2)-0.000322*POWER($AE75,3)+0.000001598*POWER($AE75,4))*32/22.414))*31.25</f>
        <v>255.73881785489027</v>
      </c>
      <c r="D144">
        <f t="shared" si="62"/>
        <v>252.03615898430022</v>
      </c>
      <c r="E144">
        <f t="shared" si="62"/>
        <v>150.60884150855142</v>
      </c>
      <c r="F144">
        <f t="shared" si="62"/>
        <v>219.06972724684005</v>
      </c>
      <c r="G144">
        <f t="shared" si="62"/>
        <v>208.47246220342726</v>
      </c>
      <c r="H144">
        <f t="shared" si="62"/>
        <v>256.96452561894762</v>
      </c>
      <c r="I144">
        <f t="shared" si="62"/>
        <v>73.057289853503832</v>
      </c>
      <c r="J144">
        <f t="shared" si="62"/>
        <v>229.0030672513885</v>
      </c>
      <c r="K144">
        <f t="shared" si="62"/>
        <v>249.58474345618544</v>
      </c>
      <c r="L144">
        <f t="shared" si="62"/>
        <v>214.7286789158035</v>
      </c>
      <c r="M144">
        <f t="shared" si="62"/>
        <v>148.41278176461529</v>
      </c>
      <c r="N144">
        <f t="shared" si="62"/>
        <v>190.29113036990938</v>
      </c>
      <c r="O144">
        <f t="shared" si="62"/>
        <v>256.96452561894762</v>
      </c>
      <c r="P144">
        <f t="shared" si="62"/>
        <v>163.14681051172181</v>
      </c>
      <c r="Q144">
        <f t="shared" si="62"/>
        <v>167.99857041111565</v>
      </c>
      <c r="R144">
        <f t="shared" si="62"/>
        <v>249.58474345618544</v>
      </c>
      <c r="S144">
        <f t="shared" si="62"/>
        <v>221.03596678501543</v>
      </c>
      <c r="T144">
        <f t="shared" si="62"/>
        <v>159.80164973898184</v>
      </c>
      <c r="U144">
        <f t="shared" si="62"/>
        <v>256.55595636426182</v>
      </c>
      <c r="V144">
        <f t="shared" si="62"/>
        <v>203.79945135295844</v>
      </c>
      <c r="W144">
        <f t="shared" si="62"/>
        <v>248.35903569212806</v>
      </c>
      <c r="X144">
        <f t="shared" si="62"/>
        <v>254.92167934551861</v>
      </c>
      <c r="Y144">
        <f t="shared" si="62"/>
        <v>224.22791408724822</v>
      </c>
      <c r="Z144">
        <f t="shared" si="62"/>
        <v>254.92167934551861</v>
      </c>
    </row>
    <row r="145" spans="2:26" x14ac:dyDescent="0.25">
      <c r="B145">
        <f t="shared" si="1"/>
        <v>15.57</v>
      </c>
      <c r="C145">
        <f t="shared" ref="C145:Z145" si="63">(((($AC76-EXP(52.57-6690.9/(273.15+$AE76)-4.681*LN(273.15+$AE76)))/1013)*C76/100*0.2095*(48.998-1.335*$AE76+0.02755*POWER($AE76,2)-0.000322*POWER($AE76,3)+0.000001598*POWER($AE76,4))*32/22.414))*31.25</f>
        <v>255.28189121660543</v>
      </c>
      <c r="D145">
        <f t="shared" si="63"/>
        <v>251.57993359820279</v>
      </c>
      <c r="E145">
        <f t="shared" si="63"/>
        <v>149.83992594762049</v>
      </c>
      <c r="F145">
        <f t="shared" si="63"/>
        <v>218.61974542332155</v>
      </c>
      <c r="G145">
        <f t="shared" si="63"/>
        <v>208.43297928716541</v>
      </c>
      <c r="H145">
        <f t="shared" si="63"/>
        <v>256.91585871714176</v>
      </c>
      <c r="I145">
        <f t="shared" si="63"/>
        <v>72.047754476773733</v>
      </c>
      <c r="J145">
        <f t="shared" si="63"/>
        <v>228.95969601265307</v>
      </c>
      <c r="K145">
        <f t="shared" si="63"/>
        <v>249.12898234739833</v>
      </c>
      <c r="L145">
        <f t="shared" si="63"/>
        <v>213.89655811708374</v>
      </c>
      <c r="M145">
        <f t="shared" si="63"/>
        <v>147.64428211877478</v>
      </c>
      <c r="N145">
        <f t="shared" si="63"/>
        <v>189.48916857782234</v>
      </c>
      <c r="O145">
        <f t="shared" si="63"/>
        <v>256.09887496687361</v>
      </c>
      <c r="P145">
        <f t="shared" si="63"/>
        <v>163.49887302241638</v>
      </c>
      <c r="Q145">
        <f t="shared" si="63"/>
        <v>166.84340025007666</v>
      </c>
      <c r="R145">
        <f t="shared" si="63"/>
        <v>249.53747422253241</v>
      </c>
      <c r="S145">
        <f t="shared" si="63"/>
        <v>221.40259632267251</v>
      </c>
      <c r="T145">
        <f t="shared" si="63"/>
        <v>160.15434579475607</v>
      </c>
      <c r="U145">
        <f t="shared" si="63"/>
        <v>255.28189121660543</v>
      </c>
      <c r="V145">
        <f t="shared" si="63"/>
        <v>203.37789233238115</v>
      </c>
      <c r="W145">
        <f t="shared" si="63"/>
        <v>248.31199859713016</v>
      </c>
      <c r="X145">
        <f t="shared" si="63"/>
        <v>254.46490746633725</v>
      </c>
      <c r="Y145">
        <f t="shared" si="63"/>
        <v>224.5684083549616</v>
      </c>
      <c r="Z145">
        <f t="shared" si="63"/>
        <v>254.87339934147136</v>
      </c>
    </row>
    <row r="146" spans="2:26" x14ac:dyDescent="0.25">
      <c r="B146">
        <f t="shared" si="1"/>
        <v>15.82</v>
      </c>
      <c r="C146">
        <f t="shared" ref="C146:Z146" si="64">(((($AC77-EXP(52.57-6690.9/(273.15+$AE77)-4.681*LN(273.15+$AE77)))/1013)*C77/100*0.2095*(48.998-1.335*$AE77+0.02755*POWER($AE77,2)-0.000322*POWER($AE77,3)+0.000001598*POWER($AE77,4))*32/22.414))*31.25</f>
        <v>255.5935657376306</v>
      </c>
      <c r="D146">
        <f t="shared" si="64"/>
        <v>251.48467266885788</v>
      </c>
      <c r="E146">
        <f t="shared" si="64"/>
        <v>149.78318894799338</v>
      </c>
      <c r="F146">
        <f t="shared" si="64"/>
        <v>217.77133264495271</v>
      </c>
      <c r="G146">
        <f t="shared" si="64"/>
        <v>207.94571878484413</v>
      </c>
      <c r="H146">
        <f t="shared" si="64"/>
        <v>257.22691453515517</v>
      </c>
      <c r="I146">
        <f t="shared" si="64"/>
        <v>71.688699566350905</v>
      </c>
      <c r="J146">
        <f t="shared" si="64"/>
        <v>228.87300025312746</v>
      </c>
      <c r="K146">
        <f t="shared" si="64"/>
        <v>249.03464947257103</v>
      </c>
      <c r="L146">
        <f t="shared" si="64"/>
        <v>214.60671934974894</v>
      </c>
      <c r="M146">
        <f t="shared" si="64"/>
        <v>147.23108145186129</v>
      </c>
      <c r="N146">
        <f t="shared" si="64"/>
        <v>188.65178611408541</v>
      </c>
      <c r="O146">
        <f t="shared" si="64"/>
        <v>256.81857733577397</v>
      </c>
      <c r="P146">
        <f t="shared" si="64"/>
        <v>163.05414792788034</v>
      </c>
      <c r="Q146">
        <f t="shared" si="64"/>
        <v>166.39740874781342</v>
      </c>
      <c r="R146">
        <f t="shared" si="64"/>
        <v>249.03464947257103</v>
      </c>
      <c r="S146">
        <f t="shared" si="64"/>
        <v>221.31876206457636</v>
      </c>
      <c r="T146">
        <f t="shared" si="64"/>
        <v>159.71088710794729</v>
      </c>
      <c r="U146">
        <f t="shared" si="64"/>
        <v>255.5935657376306</v>
      </c>
      <c r="V146">
        <f t="shared" si="64"/>
        <v>203.3008831418837</v>
      </c>
      <c r="W146">
        <f t="shared" si="64"/>
        <v>247.40130067504651</v>
      </c>
      <c r="X146">
        <f t="shared" si="64"/>
        <v>254.36855413948717</v>
      </c>
      <c r="Y146">
        <f t="shared" si="64"/>
        <v>224.89171255916136</v>
      </c>
      <c r="Z146">
        <f t="shared" si="64"/>
        <v>255.18522853824942</v>
      </c>
    </row>
    <row r="147" spans="2:26" x14ac:dyDescent="0.25">
      <c r="B147">
        <f t="shared" si="1"/>
        <v>16.079999999999998</v>
      </c>
      <c r="C147">
        <f t="shared" ref="C147:Z147" si="65">(((($AC78-EXP(52.57-6690.9/(273.15+$AE78)-4.681*LN(273.15+$AE78)))/1013)*C78/100*0.2095*(48.998-1.335*$AE78+0.02755*POWER($AE78,2)-0.000322*POWER($AE78,3)+0.000001598*POWER($AE78,4))*32/22.414))*31.25</f>
        <v>254.87339934147136</v>
      </c>
      <c r="D147">
        <f t="shared" si="65"/>
        <v>250.35445797280053</v>
      </c>
      <c r="E147">
        <f t="shared" si="65"/>
        <v>149.12506516613587</v>
      </c>
      <c r="F147">
        <f t="shared" si="65"/>
        <v>217.06237014937287</v>
      </c>
      <c r="G147">
        <f t="shared" si="65"/>
        <v>207.64152627909311</v>
      </c>
      <c r="H147">
        <f t="shared" si="65"/>
        <v>257.32435059227589</v>
      </c>
      <c r="I147">
        <f t="shared" si="65"/>
        <v>71.0520555311344</v>
      </c>
      <c r="J147">
        <f t="shared" si="65"/>
        <v>228.95969601265307</v>
      </c>
      <c r="K147">
        <f t="shared" si="65"/>
        <v>249.12898234739833</v>
      </c>
      <c r="L147">
        <f t="shared" si="65"/>
        <v>213.89655811708374</v>
      </c>
      <c r="M147">
        <f t="shared" si="65"/>
        <v>145.8315994228673</v>
      </c>
      <c r="N147">
        <f t="shared" si="65"/>
        <v>187.21693252238899</v>
      </c>
      <c r="O147">
        <f t="shared" si="65"/>
        <v>256.50736684200768</v>
      </c>
      <c r="P147">
        <f t="shared" si="65"/>
        <v>163.49887302241638</v>
      </c>
      <c r="Q147">
        <f t="shared" si="65"/>
        <v>165.33708646051971</v>
      </c>
      <c r="R147">
        <f t="shared" si="65"/>
        <v>249.53747422253241</v>
      </c>
      <c r="S147">
        <f t="shared" si="65"/>
        <v>220.99410444753843</v>
      </c>
      <c r="T147">
        <f t="shared" si="65"/>
        <v>158.67356274739501</v>
      </c>
      <c r="U147">
        <f t="shared" si="65"/>
        <v>255.69038309173953</v>
      </c>
      <c r="V147">
        <f t="shared" si="65"/>
        <v>203.37789233238115</v>
      </c>
      <c r="W147">
        <f t="shared" si="65"/>
        <v>247.90350672199611</v>
      </c>
      <c r="X147">
        <f t="shared" si="65"/>
        <v>254.05641559120318</v>
      </c>
      <c r="Y147">
        <f t="shared" si="65"/>
        <v>224.18544722202347</v>
      </c>
      <c r="Z147">
        <f t="shared" si="65"/>
        <v>255.28189121660543</v>
      </c>
    </row>
    <row r="148" spans="2:26" x14ac:dyDescent="0.25">
      <c r="B148">
        <f t="shared" ref="B148:B149" si="66">B79</f>
        <v>16.329999999999998</v>
      </c>
      <c r="C148">
        <f t="shared" ref="C148:Z148" si="67">(((($AC79-EXP(52.57-6690.9/(273.15+$AE79)-4.681*LN(273.15+$AE79)))/1013)*C79/100*0.2095*(48.998-1.335*$AE79+0.02755*POWER($AE79,2)-0.000322*POWER($AE79,3)+0.000001598*POWER($AE79,4))*32/22.414))*31.25</f>
        <v>255.69038309173953</v>
      </c>
      <c r="D148">
        <f t="shared" si="67"/>
        <v>250.76294984793469</v>
      </c>
      <c r="E148">
        <f t="shared" si="67"/>
        <v>148.027243251713</v>
      </c>
      <c r="F148">
        <f t="shared" si="67"/>
        <v>216.27091714130057</v>
      </c>
      <c r="G148">
        <f t="shared" si="67"/>
        <v>206.87560401321676</v>
      </c>
      <c r="H148">
        <f t="shared" si="67"/>
        <v>257.32435059227589</v>
      </c>
      <c r="I148">
        <f t="shared" si="67"/>
        <v>70.030825843299198</v>
      </c>
      <c r="J148">
        <f t="shared" si="67"/>
        <v>228.95969601265307</v>
      </c>
      <c r="K148">
        <f t="shared" si="67"/>
        <v>249.53747422253241</v>
      </c>
      <c r="L148">
        <f t="shared" si="67"/>
        <v>215.09650300029006</v>
      </c>
      <c r="M148">
        <f t="shared" si="67"/>
        <v>145.47416903212499</v>
      </c>
      <c r="N148">
        <f t="shared" si="67"/>
        <v>186.83397138945082</v>
      </c>
      <c r="O148">
        <f t="shared" si="67"/>
        <v>256.09887496687361</v>
      </c>
      <c r="P148">
        <f t="shared" si="67"/>
        <v>164.2392645460969</v>
      </c>
      <c r="Q148">
        <f t="shared" si="67"/>
        <v>163.85630341315871</v>
      </c>
      <c r="R148">
        <f t="shared" si="67"/>
        <v>249.53747422253241</v>
      </c>
      <c r="S148">
        <f t="shared" si="67"/>
        <v>222.1940493307448</v>
      </c>
      <c r="T148">
        <f t="shared" si="67"/>
        <v>157.93317122371451</v>
      </c>
      <c r="U148">
        <f t="shared" si="67"/>
        <v>255.28189121660543</v>
      </c>
      <c r="V148">
        <f t="shared" si="67"/>
        <v>203.76085346531931</v>
      </c>
      <c r="W148">
        <f t="shared" si="67"/>
        <v>247.0865229717279</v>
      </c>
      <c r="X148">
        <f t="shared" si="67"/>
        <v>254.46490746633725</v>
      </c>
      <c r="Y148">
        <f t="shared" si="67"/>
        <v>224.5684083549616</v>
      </c>
      <c r="Z148">
        <f t="shared" si="67"/>
        <v>255.28189121660543</v>
      </c>
    </row>
    <row r="149" spans="2:26" x14ac:dyDescent="0.25">
      <c r="B149">
        <f t="shared" si="66"/>
        <v>16.579999999999998</v>
      </c>
      <c r="C149">
        <f t="shared" ref="C149:Z149" si="68">(((($AC80-EXP(52.57-6690.9/(273.15+$AE80)-4.681*LN(273.15+$AE80)))/1013)*C80/100*0.2095*(48.998-1.335*$AE80+0.02755*POWER($AE80,2)-0.000322*POWER($AE80,3)+0.000001598*POWER($AE80,4))*32/22.414))*31.25</f>
        <v>254.87339934147136</v>
      </c>
      <c r="D149">
        <f t="shared" si="68"/>
        <v>251.17144172306871</v>
      </c>
      <c r="E149">
        <f t="shared" si="68"/>
        <v>148.027243251713</v>
      </c>
      <c r="F149">
        <f t="shared" si="68"/>
        <v>216.65387827423882</v>
      </c>
      <c r="G149">
        <f t="shared" si="68"/>
        <v>206.87560401321676</v>
      </c>
      <c r="H149">
        <f t="shared" si="68"/>
        <v>256.50736684200768</v>
      </c>
      <c r="I149">
        <f t="shared" si="68"/>
        <v>70.030825843299198</v>
      </c>
      <c r="J149">
        <f t="shared" si="68"/>
        <v>228.55120413751891</v>
      </c>
      <c r="K149">
        <f t="shared" si="68"/>
        <v>248.72049047226426</v>
      </c>
      <c r="L149">
        <f t="shared" si="68"/>
        <v>213.89655811708374</v>
      </c>
      <c r="M149">
        <f t="shared" si="68"/>
        <v>144.73377750844446</v>
      </c>
      <c r="N149">
        <f t="shared" si="68"/>
        <v>186.4510102565126</v>
      </c>
      <c r="O149">
        <f t="shared" si="68"/>
        <v>256.50736684200768</v>
      </c>
      <c r="P149">
        <f t="shared" si="68"/>
        <v>164.59669493683924</v>
      </c>
      <c r="Q149">
        <f t="shared" si="68"/>
        <v>162.75848149873585</v>
      </c>
      <c r="R149">
        <f t="shared" si="68"/>
        <v>249.53747422253241</v>
      </c>
      <c r="S149">
        <f t="shared" si="68"/>
        <v>220.99410444753843</v>
      </c>
      <c r="T149">
        <f t="shared" si="68"/>
        <v>157.93317122371451</v>
      </c>
      <c r="U149">
        <f t="shared" si="68"/>
        <v>254.87339934147136</v>
      </c>
      <c r="V149">
        <f t="shared" si="68"/>
        <v>203.37789233238115</v>
      </c>
      <c r="W149">
        <f t="shared" si="68"/>
        <v>248.31199859713016</v>
      </c>
      <c r="X149">
        <f t="shared" si="68"/>
        <v>254.46490746633725</v>
      </c>
      <c r="Y149">
        <f t="shared" si="68"/>
        <v>223.77695534688937</v>
      </c>
      <c r="Z149">
        <f t="shared" si="68"/>
        <v>254.87339934147136</v>
      </c>
    </row>
    <row r="160" spans="2:26" ht="15.75" thickBot="1" x14ac:dyDescent="0.3"/>
    <row r="161" spans="2:29" ht="39.75" thickBot="1" x14ac:dyDescent="0.3">
      <c r="C161" s="4" t="s">
        <v>131</v>
      </c>
      <c r="D161" s="2" t="s">
        <v>132</v>
      </c>
      <c r="E161" s="5" t="s">
        <v>133</v>
      </c>
      <c r="F161" s="3" t="s">
        <v>134</v>
      </c>
      <c r="G161" s="4" t="s">
        <v>135</v>
      </c>
      <c r="H161" s="2" t="s">
        <v>136</v>
      </c>
      <c r="I161" s="5" t="s">
        <v>137</v>
      </c>
      <c r="J161" s="6" t="s">
        <v>138</v>
      </c>
      <c r="K161" s="3" t="s">
        <v>126</v>
      </c>
      <c r="L161" s="2" t="s">
        <v>139</v>
      </c>
      <c r="M161" s="5" t="s">
        <v>140</v>
      </c>
      <c r="N161" s="1" t="s">
        <v>141</v>
      </c>
      <c r="O161" s="4" t="s">
        <v>142</v>
      </c>
      <c r="P161" s="2" t="s">
        <v>143</v>
      </c>
      <c r="Q161" s="6" t="s">
        <v>144</v>
      </c>
      <c r="R161" s="1" t="s">
        <v>145</v>
      </c>
      <c r="S161" s="4" t="s">
        <v>146</v>
      </c>
      <c r="T161" s="5" t="s">
        <v>147</v>
      </c>
      <c r="U161" s="3" t="s">
        <v>126</v>
      </c>
      <c r="V161" s="1" t="s">
        <v>148</v>
      </c>
      <c r="W161" s="3" t="s">
        <v>126</v>
      </c>
      <c r="X161" s="3" t="s">
        <v>126</v>
      </c>
      <c r="Y161" s="6" t="s">
        <v>149</v>
      </c>
      <c r="Z161" s="3" t="s">
        <v>126</v>
      </c>
      <c r="AC161" t="s">
        <v>127</v>
      </c>
    </row>
    <row r="162" spans="2:29" x14ac:dyDescent="0.25">
      <c r="B162" t="s">
        <v>128</v>
      </c>
      <c r="C162">
        <f>SLOPE(C83:C149,$B$83:$B$149)</f>
        <v>-8.0490103213802067E-2</v>
      </c>
      <c r="D162">
        <f>SLOPE(D83:D149,$B$83:$B$149)</f>
        <v>-0.10885588629691172</v>
      </c>
      <c r="E162">
        <f t="shared" ref="E162:Z162" si="69">SLOPE(E83:E149,$B$83:$B$149)</f>
        <v>-3.3739042968077007</v>
      </c>
      <c r="F162">
        <f t="shared" si="69"/>
        <v>-1.0030874294587473</v>
      </c>
      <c r="G162">
        <f t="shared" si="69"/>
        <v>-1.0955549120634156</v>
      </c>
      <c r="H162">
        <f t="shared" si="69"/>
        <v>-8.6147865067412427E-2</v>
      </c>
      <c r="I162">
        <f t="shared" si="69"/>
        <v>-5.3602409598591914</v>
      </c>
      <c r="J162">
        <f t="shared" si="69"/>
        <v>4.4059624253195283E-2</v>
      </c>
      <c r="K162">
        <f t="shared" si="69"/>
        <v>1.628352889062076E-2</v>
      </c>
      <c r="L162">
        <f t="shared" si="69"/>
        <v>-0.5252812645662821</v>
      </c>
      <c r="M162">
        <f t="shared" si="69"/>
        <v>-2.5951392203703185</v>
      </c>
      <c r="N162">
        <f t="shared" si="69"/>
        <v>-1.6798386954208557</v>
      </c>
      <c r="O162">
        <f t="shared" si="69"/>
        <v>-4.7872348211297253E-2</v>
      </c>
      <c r="P162">
        <f t="shared" si="69"/>
        <v>-2.459575407411168</v>
      </c>
      <c r="Q162">
        <f t="shared" si="69"/>
        <v>-2.6132129143616512</v>
      </c>
      <c r="R162">
        <f t="shared" si="69"/>
        <v>-0.53956931622012239</v>
      </c>
      <c r="S162">
        <f t="shared" si="69"/>
        <v>-0.81629182502171438</v>
      </c>
      <c r="T162">
        <f t="shared" si="69"/>
        <v>-2.4969972438756778</v>
      </c>
      <c r="U162">
        <f t="shared" si="69"/>
        <v>-6.8437004612892399E-2</v>
      </c>
      <c r="V162">
        <f t="shared" si="69"/>
        <v>-0.77310649632594897</v>
      </c>
      <c r="W162">
        <f t="shared" si="69"/>
        <v>-3.7320471469617734E-2</v>
      </c>
      <c r="X162">
        <f t="shared" si="69"/>
        <v>9.9208783443614848E-3</v>
      </c>
      <c r="Y162">
        <f t="shared" si="69"/>
        <v>-0.47561751183710876</v>
      </c>
      <c r="Z162">
        <f t="shared" si="69"/>
        <v>-0.13197268140155757</v>
      </c>
      <c r="AC162">
        <f>AVERAGE(Z163,W163,U163)</f>
        <v>7.9243385828022567E-2</v>
      </c>
    </row>
    <row r="163" spans="2:29" x14ac:dyDescent="0.25">
      <c r="B163" t="s">
        <v>129</v>
      </c>
      <c r="C163">
        <f>C162*-1</f>
        <v>8.0490103213802067E-2</v>
      </c>
      <c r="D163">
        <f t="shared" ref="D163:Z163" si="70">D162*-1</f>
        <v>0.10885588629691172</v>
      </c>
      <c r="E163">
        <f t="shared" si="70"/>
        <v>3.3739042968077007</v>
      </c>
      <c r="F163">
        <f t="shared" si="70"/>
        <v>1.0030874294587473</v>
      </c>
      <c r="G163">
        <f t="shared" si="70"/>
        <v>1.0955549120634156</v>
      </c>
      <c r="H163">
        <f t="shared" si="70"/>
        <v>8.6147865067412427E-2</v>
      </c>
      <c r="I163">
        <f t="shared" si="70"/>
        <v>5.3602409598591914</v>
      </c>
      <c r="J163">
        <f t="shared" si="70"/>
        <v>-4.4059624253195283E-2</v>
      </c>
      <c r="K163">
        <f t="shared" si="70"/>
        <v>-1.628352889062076E-2</v>
      </c>
      <c r="L163">
        <f t="shared" si="70"/>
        <v>0.5252812645662821</v>
      </c>
      <c r="M163">
        <f t="shared" si="70"/>
        <v>2.5951392203703185</v>
      </c>
      <c r="N163">
        <f t="shared" si="70"/>
        <v>1.6798386954208557</v>
      </c>
      <c r="O163">
        <f t="shared" si="70"/>
        <v>4.7872348211297253E-2</v>
      </c>
      <c r="P163">
        <f t="shared" si="70"/>
        <v>2.459575407411168</v>
      </c>
      <c r="Q163">
        <f t="shared" si="70"/>
        <v>2.6132129143616512</v>
      </c>
      <c r="R163">
        <f t="shared" si="70"/>
        <v>0.53956931622012239</v>
      </c>
      <c r="S163">
        <f t="shared" si="70"/>
        <v>0.81629182502171438</v>
      </c>
      <c r="T163">
        <f t="shared" si="70"/>
        <v>2.4969972438756778</v>
      </c>
      <c r="U163">
        <f t="shared" si="70"/>
        <v>6.8437004612892399E-2</v>
      </c>
      <c r="V163">
        <f t="shared" si="70"/>
        <v>0.77310649632594897</v>
      </c>
      <c r="W163">
        <f t="shared" si="70"/>
        <v>3.7320471469617734E-2</v>
      </c>
      <c r="X163">
        <f t="shared" si="70"/>
        <v>-9.9208783443614848E-3</v>
      </c>
      <c r="Y163">
        <f t="shared" si="70"/>
        <v>0.47561751183710876</v>
      </c>
      <c r="Z163">
        <f t="shared" si="70"/>
        <v>0.13197268140155757</v>
      </c>
    </row>
    <row r="164" spans="2:29" x14ac:dyDescent="0.25">
      <c r="B164" t="s">
        <v>130</v>
      </c>
      <c r="C164">
        <f>C163-$AC$162</f>
        <v>1.2467173857795E-3</v>
      </c>
      <c r="D164">
        <f>D163-$AC$162</f>
        <v>2.961250046888915E-2</v>
      </c>
      <c r="E164">
        <f>E163-$AC$162</f>
        <v>3.2946609109796783</v>
      </c>
      <c r="F164">
        <f>F163-$AC$162</f>
        <v>0.9238440436307247</v>
      </c>
      <c r="G164">
        <f>G163-$AC$162</f>
        <v>1.016311526235393</v>
      </c>
      <c r="H164">
        <f>H163-$AC$162</f>
        <v>6.9044792393898602E-3</v>
      </c>
      <c r="I164">
        <f>I163-$AC$162</f>
        <v>5.2809975740311685</v>
      </c>
      <c r="J164">
        <f>J163-$AC$162</f>
        <v>-0.12330301008121786</v>
      </c>
      <c r="K164">
        <f>K163-$AC$162</f>
        <v>-9.552691471864333E-2</v>
      </c>
      <c r="L164">
        <f>L163-$AC$162</f>
        <v>0.44603787873825951</v>
      </c>
      <c r="M164">
        <f>M163-$AC$162</f>
        <v>2.5158958345422962</v>
      </c>
      <c r="N164">
        <f>N163-$AC$162</f>
        <v>1.6005953095928331</v>
      </c>
      <c r="O164">
        <f>O163-$AC$162</f>
        <v>-3.1371037616725314E-2</v>
      </c>
      <c r="P164">
        <f>P163-$AC$162</f>
        <v>2.3803320215831456</v>
      </c>
      <c r="Q164">
        <f>Q163-$AC$162</f>
        <v>2.5339695285336288</v>
      </c>
      <c r="R164">
        <f>R163-$AC$162</f>
        <v>0.46032593039209979</v>
      </c>
      <c r="S164">
        <f>S163-$AC$162</f>
        <v>0.73704843919369178</v>
      </c>
      <c r="T164">
        <f>T163-$AC$162</f>
        <v>2.4177538580476554</v>
      </c>
      <c r="U164">
        <f>U163-$AC$162</f>
        <v>-1.0806381215130167E-2</v>
      </c>
      <c r="V164">
        <f>V163-$AC$162</f>
        <v>0.69386311049792637</v>
      </c>
      <c r="W164">
        <f>W163-$AC$162</f>
        <v>-4.1922914358404832E-2</v>
      </c>
      <c r="X164">
        <f>X163-$AC$162</f>
        <v>-8.9164264172384045E-2</v>
      </c>
      <c r="Y164">
        <f>Y163-$AC$162</f>
        <v>0.39637412600908617</v>
      </c>
      <c r="Z164">
        <f>Z163-$AC$162</f>
        <v>5.2729295573535007E-2</v>
      </c>
    </row>
    <row r="166" spans="2:29" x14ac:dyDescent="0.25">
      <c r="C166">
        <v>1.2467173857795E-3</v>
      </c>
      <c r="D166">
        <v>2.961250046888915E-2</v>
      </c>
      <c r="E166">
        <v>3.2946609109796783</v>
      </c>
      <c r="F166">
        <v>0.9238440436307247</v>
      </c>
      <c r="G166">
        <v>1.016311526235393</v>
      </c>
      <c r="H166">
        <v>6.9044792393898602E-3</v>
      </c>
      <c r="I166">
        <v>5.2809975740311685</v>
      </c>
      <c r="J166">
        <v>-0.12330301008121786</v>
      </c>
      <c r="K166">
        <v>-9.552691471864333E-2</v>
      </c>
      <c r="L166">
        <v>0.44603787873825951</v>
      </c>
      <c r="M166">
        <v>2.5158958345422962</v>
      </c>
      <c r="N166">
        <v>1.6005953095928331</v>
      </c>
      <c r="O166">
        <v>-3.1371037616725314E-2</v>
      </c>
      <c r="P166">
        <v>2.3803320215831456</v>
      </c>
      <c r="Q166">
        <v>2.5339695285336288</v>
      </c>
      <c r="R166">
        <v>0.46032593039209979</v>
      </c>
      <c r="S166">
        <v>0.73704843919369178</v>
      </c>
      <c r="T166">
        <v>2.4177538580476554</v>
      </c>
      <c r="U166">
        <v>-1.0806381215130167E-2</v>
      </c>
      <c r="V166">
        <v>0.69386311049792637</v>
      </c>
      <c r="W166">
        <v>-4.1922914358404832E-2</v>
      </c>
      <c r="X166">
        <v>-8.9164264172384045E-2</v>
      </c>
      <c r="Y166">
        <v>0.39637412600908617</v>
      </c>
      <c r="Z166">
        <v>5.2729295573535007E-2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BD662-C4EB-4EA4-81FD-F12C6D32D623}">
  <sheetPr codeName="Sheet3"/>
  <dimension ref="A1"/>
  <sheetViews>
    <sheetView rightToLeft="1" topLeftCell="A4" workbookViewId="0">
      <selection activeCell="Q20" sqref="Q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Oxygen Orginal</vt:lpstr>
      <vt:lpstr>Oxygen Convert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Liel Uziahu</cp:lastModifiedBy>
  <dcterms:created xsi:type="dcterms:W3CDTF">2025-04-08T10:03:17Z</dcterms:created>
  <dcterms:modified xsi:type="dcterms:W3CDTF">2025-04-19T16:57:53Z</dcterms:modified>
</cp:coreProperties>
</file>