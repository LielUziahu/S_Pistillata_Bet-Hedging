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CSMS_CBP_MassLab\Liel Uziahu\Stylophora pistillata\Physiology\Resperation\2025\08042025\"/>
    </mc:Choice>
  </mc:AlternateContent>
  <xr:revisionPtr revIDLastSave="0" documentId="13_ncr:1_{3F6C7D4F-31C8-4C57-9AA4-C11D2B133ED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patOxy_08042025" sheetId="1" r:id="rId1"/>
    <sheet name="PlanulaeOxy_08042025" sheetId="2" r:id="rId2"/>
  </sheets>
  <externalReferences>
    <externalReference r:id="rId3"/>
  </externalReferences>
  <definedNames>
    <definedName name="_xlnm._FilterDatabase" localSheetId="1" hidden="1">PlanulaeOxy_08042025!$A$1:$H$1</definedName>
    <definedName name="_xlnm._FilterDatabase" localSheetId="0" hidden="1">SpatOxy_08042025!$A$1:$H$1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2" i="2"/>
  <c r="G20" i="1"/>
  <c r="G21" i="1"/>
  <c r="G22" i="1"/>
  <c r="G23" i="1"/>
  <c r="G24" i="1"/>
  <c r="G103" i="1"/>
  <c r="G2" i="1"/>
  <c r="G3" i="1"/>
  <c r="G4" i="1"/>
  <c r="G104" i="1"/>
  <c r="G5" i="1"/>
  <c r="G6" i="1"/>
  <c r="G7" i="1"/>
  <c r="G8" i="1"/>
  <c r="G9" i="1"/>
  <c r="G10" i="1"/>
  <c r="G105" i="1"/>
  <c r="G11" i="1"/>
  <c r="G12" i="1"/>
  <c r="G13" i="1"/>
  <c r="G14" i="1"/>
  <c r="G15" i="1"/>
  <c r="G16" i="1"/>
  <c r="G17" i="1"/>
  <c r="G18" i="1"/>
  <c r="G83" i="1"/>
  <c r="G84" i="1"/>
  <c r="G91" i="1"/>
  <c r="G92" i="1"/>
  <c r="G85" i="1"/>
  <c r="G86" i="1"/>
  <c r="G93" i="1"/>
  <c r="G87" i="1"/>
  <c r="G88" i="1"/>
  <c r="G94" i="1"/>
  <c r="G89" i="1"/>
  <c r="G95" i="1"/>
  <c r="G96" i="1"/>
  <c r="G97" i="1"/>
  <c r="G98" i="1"/>
  <c r="G99" i="1"/>
  <c r="G90" i="1"/>
  <c r="G100" i="1"/>
  <c r="G101" i="1"/>
  <c r="G102" i="1"/>
  <c r="G56" i="1"/>
  <c r="G69" i="1"/>
  <c r="G70" i="1"/>
  <c r="G57" i="1"/>
  <c r="G71" i="1"/>
  <c r="G72" i="1"/>
  <c r="G73" i="1"/>
  <c r="G74" i="1"/>
  <c r="G75" i="1"/>
  <c r="G76" i="1"/>
  <c r="G58" i="1"/>
  <c r="G77" i="1"/>
  <c r="G78" i="1"/>
  <c r="G79" i="1"/>
  <c r="G59" i="1"/>
  <c r="G80" i="1"/>
  <c r="G81" i="1"/>
  <c r="G82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60" i="1"/>
  <c r="G61" i="1"/>
  <c r="G25" i="1"/>
  <c r="G26" i="1"/>
  <c r="G62" i="1"/>
  <c r="G63" i="1"/>
  <c r="G27" i="1"/>
  <c r="G28" i="1"/>
  <c r="G64" i="1"/>
  <c r="G29" i="1"/>
  <c r="G30" i="1"/>
  <c r="G65" i="1"/>
  <c r="G66" i="1"/>
  <c r="G31" i="1"/>
  <c r="G32" i="1"/>
  <c r="G67" i="1"/>
  <c r="G33" i="1"/>
  <c r="G68" i="1"/>
  <c r="G34" i="1"/>
  <c r="H34" i="1" s="1"/>
  <c r="G35" i="1"/>
  <c r="G19" i="1"/>
  <c r="E48" i="2"/>
  <c r="C48" i="2"/>
  <c r="E47" i="2"/>
  <c r="C47" i="2"/>
  <c r="E46" i="2"/>
  <c r="C46" i="2"/>
  <c r="E45" i="2"/>
  <c r="C45" i="2"/>
  <c r="E44" i="2"/>
  <c r="C44" i="2"/>
  <c r="E43" i="2"/>
  <c r="C43" i="2"/>
  <c r="E42" i="2"/>
  <c r="C42" i="2"/>
  <c r="E41" i="2"/>
  <c r="C41" i="2"/>
  <c r="E40" i="2"/>
  <c r="C40" i="2"/>
  <c r="E39" i="2"/>
  <c r="C39" i="2"/>
  <c r="E38" i="2"/>
  <c r="C38" i="2"/>
  <c r="E37" i="2"/>
  <c r="C37" i="2"/>
  <c r="E36" i="2"/>
  <c r="C36" i="2"/>
  <c r="E35" i="2"/>
  <c r="C35" i="2"/>
  <c r="E34" i="2"/>
  <c r="C34" i="2"/>
  <c r="E33" i="2"/>
  <c r="C33" i="2"/>
  <c r="E32" i="2"/>
  <c r="C32" i="2"/>
  <c r="E31" i="2"/>
  <c r="C31" i="2"/>
  <c r="E30" i="2"/>
  <c r="C30" i="2"/>
  <c r="E29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H37" i="1" l="1"/>
  <c r="H36" i="1"/>
  <c r="H55" i="1"/>
  <c r="H32" i="1"/>
  <c r="H31" i="1"/>
  <c r="H52" i="1"/>
  <c r="H51" i="1"/>
  <c r="H53" i="1"/>
  <c r="H66" i="1"/>
  <c r="H65" i="1"/>
  <c r="H30" i="1"/>
  <c r="H50" i="1"/>
  <c r="H56" i="1"/>
  <c r="H68" i="1"/>
  <c r="H39" i="1"/>
  <c r="H59" i="1"/>
  <c r="H29" i="1"/>
  <c r="H48" i="1"/>
  <c r="H47" i="1"/>
  <c r="H49" i="1"/>
  <c r="H64" i="1"/>
  <c r="H28" i="1"/>
  <c r="H27" i="1"/>
  <c r="H46" i="1"/>
  <c r="H45" i="1"/>
  <c r="H63" i="1"/>
  <c r="H44" i="1"/>
  <c r="H58" i="1"/>
  <c r="H62" i="1"/>
  <c r="H35" i="1"/>
  <c r="H26" i="1"/>
  <c r="H43" i="1"/>
  <c r="H25" i="1"/>
  <c r="H42" i="1"/>
  <c r="H41" i="1"/>
  <c r="H61" i="1"/>
  <c r="H33" i="1"/>
  <c r="H60" i="1"/>
  <c r="H40" i="1"/>
  <c r="H67" i="1"/>
  <c r="H38" i="1"/>
  <c r="H54" i="1"/>
  <c r="H57" i="1"/>
  <c r="H10" i="1"/>
  <c r="H82" i="1"/>
  <c r="H69" i="1"/>
  <c r="H86" i="1"/>
  <c r="H9" i="1"/>
  <c r="H70" i="1"/>
  <c r="H81" i="1"/>
  <c r="H85" i="1"/>
  <c r="H8" i="1"/>
  <c r="H80" i="1"/>
  <c r="H102" i="1"/>
  <c r="H92" i="1"/>
  <c r="H7" i="1"/>
  <c r="H93" i="1"/>
  <c r="H101" i="1"/>
  <c r="H91" i="1"/>
  <c r="H6" i="1"/>
  <c r="H79" i="1"/>
  <c r="H100" i="1"/>
  <c r="H84" i="1"/>
  <c r="H5" i="1"/>
  <c r="H78" i="1"/>
  <c r="H90" i="1"/>
  <c r="H83" i="1"/>
  <c r="H104" i="1"/>
  <c r="H77" i="1"/>
  <c r="H99" i="1"/>
  <c r="H18" i="1"/>
  <c r="H4" i="1"/>
  <c r="H98" i="1"/>
  <c r="H17" i="1"/>
  <c r="H3" i="1"/>
  <c r="H19" i="1"/>
  <c r="H76" i="1"/>
  <c r="H97" i="1"/>
  <c r="H16" i="1"/>
  <c r="H2" i="1"/>
  <c r="H75" i="1"/>
  <c r="H96" i="1"/>
  <c r="H15" i="1"/>
  <c r="H103" i="1"/>
  <c r="H74" i="1"/>
  <c r="H95" i="1"/>
  <c r="H14" i="1"/>
  <c r="H24" i="1"/>
  <c r="H73" i="1"/>
  <c r="H89" i="1"/>
  <c r="H13" i="1"/>
  <c r="H23" i="1"/>
  <c r="H72" i="1"/>
  <c r="H94" i="1"/>
  <c r="H12" i="1"/>
  <c r="H22" i="1"/>
  <c r="H71" i="1"/>
  <c r="H88" i="1"/>
  <c r="H11" i="1"/>
  <c r="H21" i="1"/>
  <c r="H87" i="1"/>
  <c r="H105" i="1"/>
  <c r="H20" i="1"/>
  <c r="C83" i="1"/>
  <c r="D83" i="1"/>
  <c r="E83" i="1"/>
  <c r="C103" i="1"/>
  <c r="D103" i="1"/>
  <c r="E103" i="1"/>
  <c r="C36" i="1" l="1"/>
  <c r="D36" i="1"/>
  <c r="E36" i="1"/>
  <c r="C37" i="1"/>
  <c r="D37" i="1"/>
  <c r="E37" i="1"/>
  <c r="C38" i="1"/>
  <c r="D38" i="1"/>
  <c r="E38" i="1"/>
  <c r="C39" i="1"/>
  <c r="D39" i="1"/>
  <c r="E39" i="1"/>
  <c r="C40" i="1"/>
  <c r="D40" i="1"/>
  <c r="E40" i="1"/>
  <c r="C41" i="1"/>
  <c r="D41" i="1"/>
  <c r="E41" i="1"/>
  <c r="C42" i="1"/>
  <c r="D42" i="1"/>
  <c r="E42" i="1"/>
  <c r="C43" i="1"/>
  <c r="D43" i="1"/>
  <c r="E43" i="1"/>
  <c r="C44" i="1"/>
  <c r="D44" i="1"/>
  <c r="E44" i="1"/>
  <c r="C45" i="1"/>
  <c r="D45" i="1"/>
  <c r="E45" i="1"/>
  <c r="C46" i="1"/>
  <c r="D46" i="1"/>
  <c r="E46" i="1"/>
  <c r="C47" i="1"/>
  <c r="D47" i="1"/>
  <c r="E47" i="1"/>
  <c r="C48" i="1"/>
  <c r="D48" i="1"/>
  <c r="E48" i="1"/>
  <c r="C49" i="1"/>
  <c r="D49" i="1"/>
  <c r="E49" i="1"/>
  <c r="C50" i="1"/>
  <c r="D50" i="1"/>
  <c r="E50" i="1"/>
  <c r="C51" i="1"/>
  <c r="D51" i="1"/>
  <c r="E51" i="1"/>
  <c r="C52" i="1"/>
  <c r="D52" i="1"/>
  <c r="E52" i="1"/>
  <c r="C53" i="1"/>
  <c r="D53" i="1"/>
  <c r="E53" i="1"/>
  <c r="C54" i="1"/>
  <c r="D54" i="1"/>
  <c r="E54" i="1"/>
  <c r="C55" i="1"/>
  <c r="D55" i="1"/>
  <c r="E55" i="1"/>
  <c r="C19" i="1"/>
  <c r="D19" i="1"/>
  <c r="C20" i="1"/>
  <c r="D20" i="1"/>
  <c r="C21" i="1"/>
  <c r="D21" i="1"/>
  <c r="C22" i="1"/>
  <c r="D22" i="1"/>
  <c r="C23" i="1"/>
  <c r="D23" i="1"/>
  <c r="C24" i="1"/>
  <c r="D24" i="1"/>
  <c r="C2" i="1"/>
  <c r="D2" i="1"/>
  <c r="C3" i="1"/>
  <c r="D3" i="1"/>
  <c r="C4" i="1"/>
  <c r="D4" i="1"/>
  <c r="C104" i="1"/>
  <c r="D104" i="1"/>
  <c r="E104" i="1"/>
  <c r="C5" i="1"/>
  <c r="D5" i="1"/>
  <c r="C6" i="1"/>
  <c r="D6" i="1"/>
  <c r="C7" i="1"/>
  <c r="D7" i="1"/>
  <c r="C8" i="1"/>
  <c r="D8" i="1"/>
  <c r="C9" i="1"/>
  <c r="D9" i="1"/>
  <c r="C10" i="1"/>
  <c r="D10" i="1"/>
  <c r="C105" i="1"/>
  <c r="D105" i="1"/>
  <c r="E105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84" i="1"/>
  <c r="D84" i="1"/>
  <c r="E84" i="1"/>
  <c r="C91" i="1"/>
  <c r="D91" i="1"/>
  <c r="E91" i="1"/>
  <c r="C92" i="1"/>
  <c r="D92" i="1"/>
  <c r="E92" i="1"/>
  <c r="C85" i="1"/>
  <c r="D85" i="1"/>
  <c r="E85" i="1"/>
  <c r="C86" i="1"/>
  <c r="D86" i="1"/>
  <c r="E86" i="1"/>
  <c r="C93" i="1"/>
  <c r="D93" i="1"/>
  <c r="E93" i="1"/>
  <c r="C87" i="1"/>
  <c r="D87" i="1"/>
  <c r="E87" i="1"/>
  <c r="C88" i="1"/>
  <c r="D88" i="1"/>
  <c r="E88" i="1"/>
  <c r="C94" i="1"/>
  <c r="D94" i="1"/>
  <c r="E94" i="1"/>
  <c r="C89" i="1"/>
  <c r="D89" i="1"/>
  <c r="E89" i="1"/>
  <c r="C95" i="1"/>
  <c r="D95" i="1"/>
  <c r="E95" i="1"/>
  <c r="C96" i="1"/>
  <c r="D96" i="1"/>
  <c r="E96" i="1"/>
  <c r="C97" i="1"/>
  <c r="D97" i="1"/>
  <c r="E97" i="1"/>
  <c r="C98" i="1"/>
  <c r="D98" i="1"/>
  <c r="E98" i="1"/>
  <c r="C99" i="1"/>
  <c r="D99" i="1"/>
  <c r="E99" i="1"/>
  <c r="C90" i="1"/>
  <c r="D90" i="1"/>
  <c r="E90" i="1"/>
  <c r="C100" i="1"/>
  <c r="D100" i="1"/>
  <c r="E100" i="1"/>
  <c r="C101" i="1"/>
  <c r="D101" i="1"/>
  <c r="E101" i="1"/>
  <c r="C102" i="1"/>
  <c r="D102" i="1"/>
  <c r="E102" i="1"/>
  <c r="C56" i="1"/>
  <c r="D56" i="1"/>
  <c r="E56" i="1"/>
  <c r="C69" i="1"/>
  <c r="D69" i="1"/>
  <c r="E69" i="1"/>
  <c r="C70" i="1"/>
  <c r="D70" i="1"/>
  <c r="E70" i="1"/>
  <c r="C57" i="1"/>
  <c r="D57" i="1"/>
  <c r="E57" i="1"/>
  <c r="C71" i="1"/>
  <c r="D71" i="1"/>
  <c r="E71" i="1"/>
  <c r="C72" i="1"/>
  <c r="D72" i="1"/>
  <c r="E72" i="1"/>
  <c r="C73" i="1"/>
  <c r="D73" i="1"/>
  <c r="E73" i="1"/>
  <c r="C74" i="1"/>
  <c r="D74" i="1"/>
  <c r="E74" i="1"/>
  <c r="C75" i="1"/>
  <c r="D75" i="1"/>
  <c r="E75" i="1"/>
  <c r="C76" i="1"/>
  <c r="D76" i="1"/>
  <c r="E76" i="1"/>
  <c r="C58" i="1"/>
  <c r="D58" i="1"/>
  <c r="E58" i="1"/>
  <c r="C77" i="1"/>
  <c r="D77" i="1"/>
  <c r="E77" i="1"/>
  <c r="C78" i="1"/>
  <c r="D78" i="1"/>
  <c r="E78" i="1"/>
  <c r="C79" i="1"/>
  <c r="D79" i="1"/>
  <c r="E79" i="1"/>
  <c r="C59" i="1"/>
  <c r="D59" i="1"/>
  <c r="E59" i="1"/>
  <c r="C80" i="1"/>
  <c r="D80" i="1"/>
  <c r="E80" i="1"/>
  <c r="C81" i="1"/>
  <c r="D81" i="1"/>
  <c r="E81" i="1"/>
  <c r="C82" i="1"/>
  <c r="D82" i="1"/>
  <c r="E82" i="1"/>
  <c r="E61" i="1"/>
  <c r="E25" i="1"/>
  <c r="E26" i="1"/>
  <c r="E62" i="1"/>
  <c r="E63" i="1"/>
  <c r="E27" i="1"/>
  <c r="E28" i="1"/>
  <c r="E64" i="1"/>
  <c r="E29" i="1"/>
  <c r="E30" i="1"/>
  <c r="E65" i="1"/>
  <c r="E66" i="1"/>
  <c r="E31" i="1"/>
  <c r="E32" i="1"/>
  <c r="E67" i="1"/>
  <c r="E33" i="1"/>
  <c r="E68" i="1"/>
  <c r="E34" i="1"/>
  <c r="E35" i="1"/>
  <c r="E60" i="1"/>
  <c r="D61" i="1"/>
  <c r="D25" i="1"/>
  <c r="D26" i="1"/>
  <c r="D62" i="1"/>
  <c r="D63" i="1"/>
  <c r="D27" i="1"/>
  <c r="D28" i="1"/>
  <c r="D64" i="1"/>
  <c r="D29" i="1"/>
  <c r="D30" i="1"/>
  <c r="D65" i="1"/>
  <c r="D66" i="1"/>
  <c r="D31" i="1"/>
  <c r="D32" i="1"/>
  <c r="D67" i="1"/>
  <c r="D33" i="1"/>
  <c r="D68" i="1"/>
  <c r="D34" i="1"/>
  <c r="D35" i="1"/>
  <c r="D60" i="1"/>
  <c r="C61" i="1"/>
  <c r="C25" i="1"/>
  <c r="C26" i="1"/>
  <c r="C62" i="1"/>
  <c r="C63" i="1"/>
  <c r="C27" i="1"/>
  <c r="C28" i="1"/>
  <c r="C64" i="1"/>
  <c r="C29" i="1"/>
  <c r="C30" i="1"/>
  <c r="C65" i="1"/>
  <c r="C66" i="1"/>
  <c r="C31" i="1"/>
  <c r="C32" i="1"/>
  <c r="C67" i="1"/>
  <c r="C33" i="1"/>
  <c r="C68" i="1"/>
  <c r="C34" i="1"/>
  <c r="C35" i="1"/>
  <c r="C60" i="1"/>
</calcChain>
</file>

<file path=xl/sharedStrings.xml><?xml version="1.0" encoding="utf-8"?>
<sst xmlns="http://schemas.openxmlformats.org/spreadsheetml/2006/main" count="132" uniqueCount="123">
  <si>
    <t>no</t>
  </si>
  <si>
    <t>SampleName</t>
  </si>
  <si>
    <t>plate</t>
  </si>
  <si>
    <t>Treatment</t>
  </si>
  <si>
    <t>Varient</t>
  </si>
  <si>
    <t>plateA_NF_32C_4</t>
  </si>
  <si>
    <t>plateA_HF_27C_1</t>
  </si>
  <si>
    <t>plateA_HF_27C_7</t>
  </si>
  <si>
    <t>plateA_HF_32C_2</t>
  </si>
  <si>
    <t>plateA_NF_32C_5</t>
  </si>
  <si>
    <t>plateA_HF_27C_2</t>
  </si>
  <si>
    <t>plateA_HF_27C_8</t>
  </si>
  <si>
    <t>plateA_NF_32C_6</t>
  </si>
  <si>
    <t>plateA_HF_27C_3</t>
  </si>
  <si>
    <t>plateA_HF_27C_9</t>
  </si>
  <si>
    <t>plateA_NF_32C_1</t>
  </si>
  <si>
    <t>plateA_NF_32C_7</t>
  </si>
  <si>
    <t>plateA_HF_27C_4</t>
  </si>
  <si>
    <t>plateA_HF_27C_10</t>
  </si>
  <si>
    <t>plateA_NF_32C_2</t>
  </si>
  <si>
    <t>plateA_HF_27C_5</t>
  </si>
  <si>
    <t>plateA_NF_32C_3</t>
  </si>
  <si>
    <t>plateA_HF_27C_6</t>
  </si>
  <si>
    <t>rate umol/L/min</t>
  </si>
  <si>
    <t>plateA_HF_32C_1</t>
  </si>
  <si>
    <t>area mm^2</t>
  </si>
  <si>
    <t>rate nmol/mm^2/min</t>
  </si>
  <si>
    <t>plateB_HF_27C_1</t>
  </si>
  <si>
    <t>plateB_NF_27C_3</t>
  </si>
  <si>
    <t>plateB_NF_27C_8</t>
  </si>
  <si>
    <t>plateB_NF_27C_13</t>
  </si>
  <si>
    <t>plateB_HF_27C_2</t>
  </si>
  <si>
    <t>plateB_NF_27C_4</t>
  </si>
  <si>
    <t>plateB_NF_27C_9</t>
  </si>
  <si>
    <t>plateB_NF_27C_14</t>
  </si>
  <si>
    <t>plateB_HF_27C_3</t>
  </si>
  <si>
    <t>plateB_NF_27C_5</t>
  </si>
  <si>
    <t>plateB_NF_27C_15</t>
  </si>
  <si>
    <t>plateB_NF_27C_6</t>
  </si>
  <si>
    <t>plateB_NF_27C_10</t>
  </si>
  <si>
    <t>plateB_NF_27C_1</t>
  </si>
  <si>
    <t>plateB_NF_27C_7</t>
  </si>
  <si>
    <t>plateB_NF_27C_11</t>
  </si>
  <si>
    <t>plateB_NF_27C_16</t>
  </si>
  <si>
    <t>plateB_NF_27C_2</t>
  </si>
  <si>
    <t>plateB_NF_27C_12</t>
  </si>
  <si>
    <t>plateB_NF_27C_17</t>
  </si>
  <si>
    <t>plateC_NF_27C_1</t>
  </si>
  <si>
    <t>plateC_HF_50m_1</t>
  </si>
  <si>
    <t>plateC_HF_50m_6</t>
  </si>
  <si>
    <t>plateC_NF_27C_2</t>
  </si>
  <si>
    <t>plateC_HF_50m_2</t>
  </si>
  <si>
    <t>plateC_HF_50m_7</t>
  </si>
  <si>
    <t>plateC_HF_50m_12</t>
  </si>
  <si>
    <t>plateC_HF_50m_3</t>
  </si>
  <si>
    <t>plateC_HF_50m_8</t>
  </si>
  <si>
    <t>plateC_HF_50m_13</t>
  </si>
  <si>
    <t>plateC_NF_27C_3</t>
  </si>
  <si>
    <t>plateC_HF_50m_4</t>
  </si>
  <si>
    <t>plateC_HF_50m_9</t>
  </si>
  <si>
    <t>plateC_HF_50m_14</t>
  </si>
  <si>
    <t>plateC_NF_27C_4</t>
  </si>
  <si>
    <t>plateC_HF_50m_5</t>
  </si>
  <si>
    <t>plateC_HF_50m_15</t>
  </si>
  <si>
    <t>plateC_HF_50m_10</t>
  </si>
  <si>
    <t>plateD_NF_50m_1</t>
  </si>
  <si>
    <t>plateD_NF_50m_6</t>
  </si>
  <si>
    <t>plateD_HF_DARK_3</t>
  </si>
  <si>
    <t>plateD_HF_DARK_8</t>
  </si>
  <si>
    <t>plateD_NF_50m_2</t>
  </si>
  <si>
    <t>plateD_NF_50m_7</t>
  </si>
  <si>
    <t>plateD_HF_DARK_4</t>
  </si>
  <si>
    <t>plateD_NF_50m_3</t>
  </si>
  <si>
    <t>plateD_NF_50m_8</t>
  </si>
  <si>
    <t>plateD_HF_DARK_9</t>
  </si>
  <si>
    <t>plateD_NF_50m_4</t>
  </si>
  <si>
    <t>plateD_HF_DARK_5</t>
  </si>
  <si>
    <t>plateD_NF_DARK_1</t>
  </si>
  <si>
    <t>plateD_HF_DARK_1</t>
  </si>
  <si>
    <t>plateD_HF_DARK_6</t>
  </si>
  <si>
    <t>plateD_NF_DARK_2</t>
  </si>
  <si>
    <t>plateD_NF_50m_5</t>
  </si>
  <si>
    <t>plateD_HF_DARK_2</t>
  </si>
  <si>
    <t>plateD_HF_DARK_7</t>
  </si>
  <si>
    <t>plateD_NF_DARK_3</t>
  </si>
  <si>
    <t>plateF_NF_control_1</t>
  </si>
  <si>
    <t>plateF_NF_control_7</t>
  </si>
  <si>
    <t>planula_HF1_1</t>
  </si>
  <si>
    <t>planula_NF_1</t>
  </si>
  <si>
    <t>planula_HF1</t>
  </si>
  <si>
    <t>planula_NF_2</t>
  </si>
  <si>
    <t>plateF_NF_control_2</t>
  </si>
  <si>
    <t>planula_HF2</t>
  </si>
  <si>
    <t>planula_NF_3</t>
  </si>
  <si>
    <t>plateF_NF_control_3</t>
  </si>
  <si>
    <t>planula_HF3</t>
  </si>
  <si>
    <t>planula_NF_4</t>
  </si>
  <si>
    <t>plateF_NF_control_4</t>
  </si>
  <si>
    <t>planula_HF4</t>
  </si>
  <si>
    <t>planula_NF_5</t>
  </si>
  <si>
    <t>plateF_NF_control_5</t>
  </si>
  <si>
    <t>planula_HF5</t>
  </si>
  <si>
    <t>planula_NF_6</t>
  </si>
  <si>
    <t>plateE_NF_DARK_1</t>
  </si>
  <si>
    <t>plateE_HF_control_3</t>
  </si>
  <si>
    <t>plateE_HF_control_8</t>
  </si>
  <si>
    <t>plateE_NF_DARK_2</t>
  </si>
  <si>
    <t>plateE_HF_control_4</t>
  </si>
  <si>
    <t>plateE_HF_control_9</t>
  </si>
  <si>
    <t>plateE_HF_control_14</t>
  </si>
  <si>
    <t>plateE_HF_control_5</t>
  </si>
  <si>
    <t>plateE_HF_control_10</t>
  </si>
  <si>
    <t>plateE_HF_control_15</t>
  </si>
  <si>
    <t>plateE_NF_DARK_3</t>
  </si>
  <si>
    <t>plateE_HF_control_11</t>
  </si>
  <si>
    <t>plateE_NF_control_1</t>
  </si>
  <si>
    <t>plateE_HF_control_1</t>
  </si>
  <si>
    <t>plateE_HF_control_6</t>
  </si>
  <si>
    <t>plateE_NF_control_2</t>
  </si>
  <si>
    <t>plateE_HF_control_2</t>
  </si>
  <si>
    <t>plateE_HF_control_7</t>
  </si>
  <si>
    <t>plateE_HF_control_13</t>
  </si>
  <si>
    <t>plateE_HF_control_12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</si>
</sst>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E59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8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1" fillId="11" borderId="1" xfId="0" applyFont="1" applyFill="1" applyBorder="1" applyAlignment="1">
      <alignment wrapText="1"/>
    </xf>
    <xf numFmtId="0" fontId="1" fillId="4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wrapText="1"/>
    </xf>
    <xf numFmtId="0" fontId="1" fillId="13" borderId="1" xfId="0" applyFont="1" applyFill="1" applyBorder="1" applyAlignment="1">
      <alignment wrapText="1"/>
    </xf>
    <xf numFmtId="0" fontId="1" fillId="14" borderId="1" xfId="0" applyFont="1" applyFill="1" applyBorder="1" applyAlignment="1">
      <alignment wrapText="1"/>
    </xf>
    <xf numFmtId="0" fontId="1" fillId="12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CSMS_CBP_MassLab\Liel%20Uziahu\Stylophora%20pistillata\Imaging\Spat%20Imaging\2025\0804205\08042025_Spat_Mesurment.xlsx" TargetMode="External"/><Relationship Id="rId1" Type="http://schemas.openxmlformats.org/officeDocument/2006/relationships/externalLinkPath" Target="/Shared%20drives/CSMS_CBP_MassLab/Liel%20Uziahu/Stylophora%20pistillata/Imaging/Spat%20Imaging/2025/0804205/08042025_Spat_Mesur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>
        <row r="2">
          <cell r="B2" t="str">
            <v>plateA_HF_32C_1</v>
          </cell>
          <cell r="C2">
            <v>1900487.8589999999</v>
          </cell>
          <cell r="D2">
            <v>1.9004878589999998</v>
          </cell>
          <cell r="E2" t="str">
            <v>(B2,1,6)</v>
          </cell>
          <cell r="F2" t="str">
            <v>32C</v>
          </cell>
          <cell r="G2" t="str">
            <v>High Fluorescent</v>
          </cell>
          <cell r="H2" t="str">
            <v>08-04-2025-0941_Stemi 305_2x_plateA_HF_32C_1</v>
          </cell>
        </row>
        <row r="3">
          <cell r="B3" t="str">
            <v>plateA_HF_27C_10</v>
          </cell>
          <cell r="C3">
            <v>3030447.7280000001</v>
          </cell>
          <cell r="D3">
            <v>3.030447728</v>
          </cell>
          <cell r="E3" t="str">
            <v>plateA</v>
          </cell>
          <cell r="F3" t="str">
            <v>27C</v>
          </cell>
          <cell r="G3" t="str">
            <v>High Fluorescent</v>
          </cell>
          <cell r="H3" t="str">
            <v>08-04-2025-0958_Stemi 305_2x_plateA_HF_27C_10</v>
          </cell>
        </row>
        <row r="4">
          <cell r="B4" t="str">
            <v>plateA_HF_27C_9</v>
          </cell>
          <cell r="C4">
            <v>1890415.398</v>
          </cell>
          <cell r="D4">
            <v>1.890415398</v>
          </cell>
          <cell r="E4" t="str">
            <v>plateA</v>
          </cell>
          <cell r="F4" t="str">
            <v>27C</v>
          </cell>
          <cell r="G4" t="str">
            <v>High Fluorescent</v>
          </cell>
          <cell r="H4" t="str">
            <v>08-04-2025-0956_Stemi 305_2x_plateA_HF_27C_9</v>
          </cell>
        </row>
        <row r="5">
          <cell r="B5" t="str">
            <v>plateA_HF_27C_8</v>
          </cell>
          <cell r="C5">
            <v>1324844.5020000001</v>
          </cell>
          <cell r="D5">
            <v>1.3248445020000001</v>
          </cell>
          <cell r="E5" t="str">
            <v>plateA</v>
          </cell>
          <cell r="F5" t="str">
            <v>27C</v>
          </cell>
          <cell r="G5" t="str">
            <v>High Fluorescent</v>
          </cell>
          <cell r="H5" t="str">
            <v>08-04-2025-0955_Stemi 305_2x_plateA_HF_27C_8</v>
          </cell>
        </row>
        <row r="6">
          <cell r="B6" t="str">
            <v>plateA_HF_27C_7</v>
          </cell>
          <cell r="C6">
            <v>6002185.5149999997</v>
          </cell>
          <cell r="D6">
            <v>6.002185514999999</v>
          </cell>
          <cell r="E6" t="str">
            <v>plateA</v>
          </cell>
          <cell r="F6" t="str">
            <v>27C</v>
          </cell>
          <cell r="G6" t="str">
            <v>High Fluorescent</v>
          </cell>
          <cell r="H6" t="str">
            <v>08-04-2025-0955_Stemi 305_2x_plateA_HF_27C_7</v>
          </cell>
        </row>
        <row r="7">
          <cell r="B7" t="str">
            <v>plateA_HF_27C_6</v>
          </cell>
          <cell r="C7">
            <v>2513986.8339999998</v>
          </cell>
          <cell r="D7">
            <v>2.5139868339999998</v>
          </cell>
          <cell r="E7" t="str">
            <v>plateA</v>
          </cell>
          <cell r="F7" t="str">
            <v>27C</v>
          </cell>
          <cell r="G7" t="str">
            <v>High Fluorescent</v>
          </cell>
          <cell r="H7" t="str">
            <v>08-04-2025-0954_Stemi 305_2x_plateA_HF_27C_6</v>
          </cell>
        </row>
        <row r="8">
          <cell r="B8" t="str">
            <v>plateA_HF_27C_5</v>
          </cell>
          <cell r="C8">
            <v>4280705.7759999996</v>
          </cell>
          <cell r="D8">
            <v>4.2807057759999996</v>
          </cell>
          <cell r="E8" t="str">
            <v>plateA</v>
          </cell>
          <cell r="F8" t="str">
            <v>27C</v>
          </cell>
          <cell r="G8" t="str">
            <v>High Fluorescent</v>
          </cell>
          <cell r="H8" t="str">
            <v>08-04-2025-0954_Stemi 305_2x_plateA_HF_27C_5</v>
          </cell>
        </row>
        <row r="9">
          <cell r="B9" t="str">
            <v>plateA_HF_27C_4</v>
          </cell>
          <cell r="C9">
            <v>4246670.3569999998</v>
          </cell>
          <cell r="D9">
            <v>4.2466703569999993</v>
          </cell>
          <cell r="E9" t="str">
            <v>plateA</v>
          </cell>
          <cell r="F9" t="str">
            <v>27C</v>
          </cell>
          <cell r="G9" t="str">
            <v>High Fluorescent</v>
          </cell>
          <cell r="H9" t="str">
            <v>08-04-2025-0952_Stemi 305_2x_plateA_HF_27C_4</v>
          </cell>
        </row>
        <row r="10">
          <cell r="B10" t="str">
            <v>plateA_HF_27C_3</v>
          </cell>
          <cell r="C10">
            <v>3811519.733</v>
          </cell>
          <cell r="D10">
            <v>3.8115197329999999</v>
          </cell>
          <cell r="E10" t="str">
            <v>plateA</v>
          </cell>
          <cell r="F10" t="str">
            <v>27C</v>
          </cell>
          <cell r="G10" t="str">
            <v>High Fluorescent</v>
          </cell>
          <cell r="H10" t="str">
            <v>08-04-2025-0951_Stemi 305_2x_plateA_HF_27C_3</v>
          </cell>
        </row>
        <row r="11">
          <cell r="B11" t="str">
            <v>plateA_HF_27C_2</v>
          </cell>
          <cell r="C11">
            <v>6021130.9210000001</v>
          </cell>
          <cell r="D11">
            <v>6.0211309210000001</v>
          </cell>
          <cell r="E11" t="str">
            <v>plateA</v>
          </cell>
          <cell r="F11" t="str">
            <v>27C</v>
          </cell>
          <cell r="G11" t="str">
            <v>High Fluorescent</v>
          </cell>
          <cell r="H11" t="str">
            <v>08-04-2025-0951_Stemi 305_2x_plateA_HF_27C_2</v>
          </cell>
        </row>
        <row r="12">
          <cell r="B12" t="str">
            <v>plateA_HF_27C_1</v>
          </cell>
          <cell r="C12">
            <v>1291518.476</v>
          </cell>
          <cell r="D12">
            <v>1.291518476</v>
          </cell>
          <cell r="E12" t="str">
            <v>plateA</v>
          </cell>
          <cell r="F12" t="str">
            <v>27C</v>
          </cell>
          <cell r="G12" t="str">
            <v>High Fluorescent</v>
          </cell>
          <cell r="H12" t="str">
            <v>08-04-2025-0950_Stemi 305_2x_plateA_HF_27C_1</v>
          </cell>
        </row>
        <row r="13">
          <cell r="B13" t="str">
            <v>plateA_HF_27C_1</v>
          </cell>
          <cell r="C13">
            <v>3049894.3360000001</v>
          </cell>
          <cell r="D13">
            <v>3.0498943359999999</v>
          </cell>
          <cell r="E13" t="str">
            <v>plateA</v>
          </cell>
          <cell r="F13" t="str">
            <v>27C</v>
          </cell>
          <cell r="G13" t="str">
            <v>High Fluorescent</v>
          </cell>
          <cell r="H13" t="str">
            <v>08-04-2025-0949_Stemi 305_2x_plateA_HF_27C_1</v>
          </cell>
        </row>
        <row r="14">
          <cell r="B14" t="str">
            <v>plateA_NF_32C_7</v>
          </cell>
          <cell r="C14">
            <v>4184274.6579999998</v>
          </cell>
          <cell r="D14">
            <v>4.1842746579999996</v>
          </cell>
          <cell r="E14" t="str">
            <v>plateA</v>
          </cell>
          <cell r="F14" t="str">
            <v>32C</v>
          </cell>
          <cell r="G14" t="str">
            <v>Non Fluorescent</v>
          </cell>
          <cell r="H14" t="str">
            <v>08-04-2025-0949_Stemi 305_2x_plateA_NF_32C_7</v>
          </cell>
        </row>
        <row r="15">
          <cell r="B15" t="str">
            <v>plateA_NF_32C_6</v>
          </cell>
          <cell r="C15">
            <v>5526838.5520000001</v>
          </cell>
          <cell r="D15">
            <v>5.5268385520000001</v>
          </cell>
          <cell r="E15" t="str">
            <v>plateA</v>
          </cell>
          <cell r="F15" t="str">
            <v>32C</v>
          </cell>
          <cell r="G15" t="str">
            <v>Non Fluorescent</v>
          </cell>
          <cell r="H15" t="str">
            <v>08-04-2025-0948_Stemi 305_2x_plateA_NF_32C_6</v>
          </cell>
        </row>
        <row r="16">
          <cell r="B16" t="str">
            <v>plateA_NF_32C_5</v>
          </cell>
          <cell r="C16">
            <v>2259299.5070000002</v>
          </cell>
          <cell r="D16">
            <v>2.2592995070000002</v>
          </cell>
          <cell r="E16" t="str">
            <v>plateA</v>
          </cell>
          <cell r="F16" t="str">
            <v>32C</v>
          </cell>
          <cell r="G16" t="str">
            <v>Non Fluorescent</v>
          </cell>
          <cell r="H16" t="str">
            <v>08-04-2025-0945_Stemi 305_2x_plateA_NF_32C_5</v>
          </cell>
        </row>
        <row r="17">
          <cell r="B17" t="str">
            <v>plateA_NF_32C_4</v>
          </cell>
          <cell r="C17">
            <v>3186575.7680000002</v>
          </cell>
          <cell r="D17">
            <v>3.186575768</v>
          </cell>
          <cell r="E17" t="str">
            <v>plateA</v>
          </cell>
          <cell r="F17" t="str">
            <v>32C</v>
          </cell>
          <cell r="G17" t="str">
            <v>Non Fluorescent</v>
          </cell>
          <cell r="H17" t="str">
            <v>08-04-2025-0944_Stemi 305_2x_plateA_NF_32C_4</v>
          </cell>
        </row>
        <row r="18">
          <cell r="B18" t="str">
            <v>plateA_NF_32C_3</v>
          </cell>
          <cell r="C18">
            <v>3696174.0520000001</v>
          </cell>
          <cell r="D18">
            <v>3.6961740519999999</v>
          </cell>
          <cell r="E18" t="str">
            <v>plateA</v>
          </cell>
          <cell r="F18" t="str">
            <v>32C</v>
          </cell>
          <cell r="G18" t="str">
            <v>Non Fluorescent</v>
          </cell>
          <cell r="H18" t="str">
            <v>08-04-2025-0944_Stemi 305_2x_plateA_NF_32C_3</v>
          </cell>
        </row>
        <row r="19">
          <cell r="B19" t="str">
            <v>plateA_NF_32C_2</v>
          </cell>
          <cell r="C19">
            <v>2376580.0839999998</v>
          </cell>
          <cell r="D19">
            <v>2.3765800839999995</v>
          </cell>
          <cell r="E19" t="str">
            <v>plateA</v>
          </cell>
          <cell r="F19" t="str">
            <v>32C</v>
          </cell>
          <cell r="G19" t="str">
            <v>Non Fluorescent</v>
          </cell>
          <cell r="H19" t="str">
            <v>08-04-2025-0943_Stemi 305_2x_plateA_NF_32C_2</v>
          </cell>
        </row>
        <row r="20">
          <cell r="B20" t="str">
            <v>plateA_NF_32C_1</v>
          </cell>
          <cell r="C20">
            <v>4090284.48</v>
          </cell>
          <cell r="D20">
            <v>4.0902844800000002</v>
          </cell>
          <cell r="E20" t="str">
            <v>plateA</v>
          </cell>
          <cell r="F20" t="str">
            <v>32C</v>
          </cell>
          <cell r="G20" t="str">
            <v>Non Fluorescent</v>
          </cell>
          <cell r="H20" t="str">
            <v>08-04-2025-0942_Stemi 305_2x_plateA_NF_32C_1</v>
          </cell>
        </row>
        <row r="21">
          <cell r="B21" t="str">
            <v>plateA_HF_32C_2</v>
          </cell>
          <cell r="C21">
            <v>1923264.4369999999</v>
          </cell>
          <cell r="D21">
            <v>1.9232644369999998</v>
          </cell>
          <cell r="E21" t="str">
            <v>plateA</v>
          </cell>
          <cell r="F21" t="str">
            <v>32C</v>
          </cell>
          <cell r="G21" t="str">
            <v>High Fluorescent</v>
          </cell>
          <cell r="H21" t="str">
            <v>08-04-2025-0942_Stemi 305_2x_plateA_HF_32C_2</v>
          </cell>
        </row>
        <row r="22">
          <cell r="B22" t="str">
            <v>plateB_HF_27C_1</v>
          </cell>
          <cell r="C22">
            <v>1414740.74</v>
          </cell>
          <cell r="D22">
            <v>1.4147407399999998</v>
          </cell>
          <cell r="E22" t="str">
            <v>plateB</v>
          </cell>
          <cell r="F22" t="str">
            <v>27C</v>
          </cell>
          <cell r="G22" t="str">
            <v>High Fluorescent</v>
          </cell>
          <cell r="H22" t="str">
            <v>08-04-2025-1122_Stemi 305_2x_plateB_HF_27C_1</v>
          </cell>
        </row>
        <row r="23">
          <cell r="B23" t="str">
            <v>plateB_NF_27C_17</v>
          </cell>
          <cell r="C23">
            <v>2596497.923</v>
          </cell>
          <cell r="D23">
            <v>2.5964979229999998</v>
          </cell>
          <cell r="E23" t="str">
            <v>plateB</v>
          </cell>
          <cell r="F23" t="str">
            <v>27C</v>
          </cell>
          <cell r="G23" t="str">
            <v>Non Fluorescent</v>
          </cell>
          <cell r="H23" t="str">
            <v>08-04-2025-1129_Stemi 305_2x_plateB_NF_27C_17</v>
          </cell>
        </row>
        <row r="24">
          <cell r="B24" t="str">
            <v>plateB_NF_27C_16</v>
          </cell>
          <cell r="C24">
            <v>4729311.0559999999</v>
          </cell>
          <cell r="D24">
            <v>4.7293110559999993</v>
          </cell>
          <cell r="E24" t="str">
            <v>plateB</v>
          </cell>
          <cell r="F24" t="str">
            <v>27C</v>
          </cell>
          <cell r="G24" t="str">
            <v>Non Fluorescent</v>
          </cell>
          <cell r="H24" t="str">
            <v>08-04-2025-1129_Stemi 305_2x_plateB_NF_27C_16</v>
          </cell>
        </row>
        <row r="25">
          <cell r="B25" t="str">
            <v>plateB_NF_27C_15</v>
          </cell>
          <cell r="C25">
            <v>5767974.6469999999</v>
          </cell>
          <cell r="D25">
            <v>5.767974647</v>
          </cell>
          <cell r="E25" t="str">
            <v>plateB</v>
          </cell>
          <cell r="F25" t="str">
            <v>27C</v>
          </cell>
          <cell r="G25" t="str">
            <v>Non Fluorescent</v>
          </cell>
          <cell r="H25" t="str">
            <v>08-04-2025-1128_Stemi 305_2x_plateB_NF_27C_15</v>
          </cell>
        </row>
        <row r="26">
          <cell r="B26" t="str">
            <v>plateB_NF_27C_14</v>
          </cell>
          <cell r="C26">
            <v>4190162.6940000001</v>
          </cell>
          <cell r="D26">
            <v>4.1901626939999996</v>
          </cell>
          <cell r="E26" t="str">
            <v>plateB</v>
          </cell>
          <cell r="F26" t="str">
            <v>27C</v>
          </cell>
          <cell r="G26" t="str">
            <v>Non Fluorescent</v>
          </cell>
          <cell r="H26" t="str">
            <v>08-04-2025-1128_Stemi 305_2x_plateB_NF_27C_14</v>
          </cell>
        </row>
        <row r="27">
          <cell r="B27" t="str">
            <v>plateB_NF_27C_13</v>
          </cell>
          <cell r="C27">
            <v>5307212.625</v>
          </cell>
          <cell r="D27">
            <v>5.307212625</v>
          </cell>
          <cell r="E27" t="str">
            <v>plateB</v>
          </cell>
          <cell r="F27" t="str">
            <v>27C</v>
          </cell>
          <cell r="G27" t="str">
            <v>Non Fluorescent</v>
          </cell>
          <cell r="H27" t="str">
            <v>08-04-2025-1128_Stemi 305_2x_plateB_NF_27C_13</v>
          </cell>
        </row>
        <row r="28">
          <cell r="B28" t="str">
            <v>plateB_NF_27C_12</v>
          </cell>
          <cell r="C28">
            <v>2120905.594</v>
          </cell>
          <cell r="D28">
            <v>2.1209055939999999</v>
          </cell>
          <cell r="E28" t="str">
            <v>plateB</v>
          </cell>
          <cell r="F28" t="str">
            <v>27C</v>
          </cell>
          <cell r="G28" t="str">
            <v>Non Fluorescent</v>
          </cell>
          <cell r="H28" t="str">
            <v>08-04-2025-1128_Stemi 305_2x_plateB_NF_27C_12</v>
          </cell>
        </row>
        <row r="29">
          <cell r="B29" t="str">
            <v>plateB_NF_27C_11</v>
          </cell>
          <cell r="C29">
            <v>1156912.2350000001</v>
          </cell>
          <cell r="D29">
            <v>1.1569122350000001</v>
          </cell>
          <cell r="E29" t="str">
            <v>plateB</v>
          </cell>
          <cell r="F29" t="str">
            <v>27C</v>
          </cell>
          <cell r="G29" t="str">
            <v>Non Fluorescent</v>
          </cell>
          <cell r="H29" t="str">
            <v>08-04-2025-1127_Stemi 305_2x_plateB_NF_27C_11</v>
          </cell>
        </row>
        <row r="30">
          <cell r="B30" t="str">
            <v>plateB_NF_27C_10</v>
          </cell>
          <cell r="C30">
            <v>1372154.625</v>
          </cell>
          <cell r="D30">
            <v>1.3721546249999999</v>
          </cell>
          <cell r="E30" t="str">
            <v>plateB</v>
          </cell>
          <cell r="F30" t="str">
            <v>27C</v>
          </cell>
          <cell r="G30" t="str">
            <v>Non Fluorescent</v>
          </cell>
          <cell r="H30" t="str">
            <v>08-04-2025-1127_Stemi 305_2x_plateB_NF_27C_10</v>
          </cell>
        </row>
        <row r="31">
          <cell r="B31" t="str">
            <v>plateB_NF_27C_9</v>
          </cell>
          <cell r="C31">
            <v>1931670.879</v>
          </cell>
          <cell r="D31">
            <v>1.9316708789999999</v>
          </cell>
          <cell r="E31" t="str">
            <v>plateB</v>
          </cell>
          <cell r="F31" t="str">
            <v>27C</v>
          </cell>
          <cell r="G31" t="str">
            <v>Non Fluorescent</v>
          </cell>
          <cell r="H31" t="str">
            <v>08-04-2025-1126_Stemi 305_2x_plateB_NF_27C_9</v>
          </cell>
        </row>
        <row r="32">
          <cell r="B32" t="str">
            <v>plateB_NF_27C_8</v>
          </cell>
          <cell r="C32">
            <v>1602937.615</v>
          </cell>
          <cell r="D32">
            <v>1.6029376149999999</v>
          </cell>
          <cell r="E32" t="str">
            <v>plateB</v>
          </cell>
          <cell r="F32" t="str">
            <v>27C</v>
          </cell>
          <cell r="G32" t="str">
            <v>Non Fluorescent</v>
          </cell>
          <cell r="H32" t="str">
            <v>08-04-2025-1126_Stemi 305_2x_plateB_NF_27C_8</v>
          </cell>
        </row>
        <row r="33">
          <cell r="B33" t="str">
            <v>plateB_NF_27C_7</v>
          </cell>
          <cell r="C33">
            <v>2415521.3470000001</v>
          </cell>
          <cell r="D33">
            <v>2.4155213469999999</v>
          </cell>
          <cell r="E33" t="str">
            <v>plateB</v>
          </cell>
          <cell r="F33" t="str">
            <v>27C</v>
          </cell>
          <cell r="G33" t="str">
            <v>Non Fluorescent</v>
          </cell>
          <cell r="H33" t="str">
            <v>08-04-2025-1126_Stemi 305_2x_plateB_NF_27C_7</v>
          </cell>
        </row>
        <row r="34">
          <cell r="B34" t="str">
            <v>plateB_NF_27C_6</v>
          </cell>
          <cell r="C34">
            <v>4532485.2019999996</v>
          </cell>
          <cell r="D34">
            <v>4.5324852019999993</v>
          </cell>
          <cell r="E34" t="str">
            <v>plateB</v>
          </cell>
          <cell r="F34" t="str">
            <v>27C</v>
          </cell>
          <cell r="G34" t="str">
            <v>Non Fluorescent</v>
          </cell>
          <cell r="H34" t="str">
            <v>08-04-2025-1126_Stemi 305_2x_plateB_NF_27C_6</v>
          </cell>
        </row>
        <row r="35">
          <cell r="B35" t="str">
            <v>plateB_NF_27C_5</v>
          </cell>
          <cell r="C35">
            <v>2968676.1809999999</v>
          </cell>
          <cell r="D35">
            <v>2.9686761809999997</v>
          </cell>
          <cell r="E35" t="str">
            <v>plateB</v>
          </cell>
          <cell r="F35" t="str">
            <v>27C</v>
          </cell>
          <cell r="G35" t="str">
            <v>Non Fluorescent</v>
          </cell>
          <cell r="H35" t="str">
            <v>08-04-2025-1125_Stemi 305_2x_plateB_NF_27C_5</v>
          </cell>
        </row>
        <row r="36">
          <cell r="B36" t="str">
            <v>plateB_NF_27C_4</v>
          </cell>
          <cell r="C36">
            <v>1008218.895</v>
          </cell>
          <cell r="D36">
            <v>1.0082188949999999</v>
          </cell>
          <cell r="E36" t="str">
            <v>plateB</v>
          </cell>
          <cell r="F36" t="str">
            <v>27C</v>
          </cell>
          <cell r="G36" t="str">
            <v>Non Fluorescent</v>
          </cell>
          <cell r="H36" t="str">
            <v>08-04-2025-1125_Stemi 305_2x_plateB_NF_27C_4</v>
          </cell>
        </row>
        <row r="37">
          <cell r="B37" t="str">
            <v>plateB_NF_27C_3</v>
          </cell>
          <cell r="C37">
            <v>3535763.6970000002</v>
          </cell>
          <cell r="D37">
            <v>3.5357636970000001</v>
          </cell>
          <cell r="E37" t="str">
            <v>plateB</v>
          </cell>
          <cell r="F37" t="str">
            <v>27C</v>
          </cell>
          <cell r="G37" t="str">
            <v>Non Fluorescent</v>
          </cell>
          <cell r="H37" t="str">
            <v>08-04-2025-1124_Stemi 305_2x_plateB_NF_27C_3</v>
          </cell>
        </row>
        <row r="38">
          <cell r="B38" t="str">
            <v>plateB_NF_27C_2</v>
          </cell>
          <cell r="C38">
            <v>4310256.9570000004</v>
          </cell>
          <cell r="D38">
            <v>4.310256957</v>
          </cell>
          <cell r="E38" t="str">
            <v>plateB</v>
          </cell>
          <cell r="F38" t="str">
            <v>27C</v>
          </cell>
          <cell r="G38" t="str">
            <v>Non Fluorescent</v>
          </cell>
          <cell r="H38" t="str">
            <v>08-04-2025-1124_Stemi 305_2x_plateB_NF_27C_2</v>
          </cell>
        </row>
        <row r="39">
          <cell r="B39" t="str">
            <v>plateB_NF_27C_1</v>
          </cell>
          <cell r="C39">
            <v>2573011.4</v>
          </cell>
          <cell r="D39">
            <v>2.5730113999999999</v>
          </cell>
          <cell r="E39" t="str">
            <v>plateB</v>
          </cell>
          <cell r="F39" t="str">
            <v>27C</v>
          </cell>
          <cell r="G39" t="str">
            <v>Non Fluorescent</v>
          </cell>
          <cell r="H39" t="str">
            <v>08-04-2025-1123_Stemi 305_2x_plateB_NF_27C_1</v>
          </cell>
        </row>
        <row r="40">
          <cell r="B40" t="str">
            <v>plateB_HF_27C_3</v>
          </cell>
          <cell r="C40">
            <v>1676441.2990000001</v>
          </cell>
          <cell r="D40">
            <v>1.6764412989999999</v>
          </cell>
          <cell r="E40" t="str">
            <v>plateB</v>
          </cell>
          <cell r="F40" t="str">
            <v>27C</v>
          </cell>
          <cell r="G40" t="str">
            <v>High Fluorescent</v>
          </cell>
          <cell r="H40" t="str">
            <v>08-04-2025-1123_Stemi 305_2x_plateB_HF_27C_3</v>
          </cell>
        </row>
        <row r="41">
          <cell r="B41" t="str">
            <v>plateB_HF_27C_2</v>
          </cell>
          <cell r="C41">
            <v>2896476.003</v>
          </cell>
          <cell r="D41">
            <v>2.8964760030000001</v>
          </cell>
          <cell r="E41" t="str">
            <v>plateB</v>
          </cell>
          <cell r="F41" t="str">
            <v>27C</v>
          </cell>
          <cell r="G41" t="str">
            <v>High Fluorescent</v>
          </cell>
          <cell r="H41" t="str">
            <v>08-04-2025-1122_Stemi 305_2x_plateB_HF_27C_2</v>
          </cell>
        </row>
        <row r="42">
          <cell r="B42" t="str">
            <v>plateC_NF_27C_1</v>
          </cell>
          <cell r="C42">
            <v>1575389.952</v>
          </cell>
          <cell r="D42">
            <v>1.5753899519999999</v>
          </cell>
          <cell r="E42" t="str">
            <v>plateC</v>
          </cell>
          <cell r="F42" t="str">
            <v>27C</v>
          </cell>
          <cell r="G42" t="str">
            <v>Non Fluorescent</v>
          </cell>
          <cell r="H42" t="str">
            <v>08-04-2025-1226_Stemi 305_2x_plateC_NF_27C_1</v>
          </cell>
        </row>
        <row r="43">
          <cell r="B43" t="str">
            <v>plateC_HF_50m_15</v>
          </cell>
          <cell r="C43">
            <v>2311762.969</v>
          </cell>
          <cell r="D43">
            <v>2.3117629690000001</v>
          </cell>
          <cell r="E43" t="str">
            <v>plateC</v>
          </cell>
          <cell r="F43" t="str">
            <v>50m</v>
          </cell>
          <cell r="G43" t="str">
            <v>High Fluorescent</v>
          </cell>
          <cell r="H43" t="str">
            <v>08-04-2025-1234_Stemi 305_2x_plateC_HF_50m_15</v>
          </cell>
        </row>
        <row r="44">
          <cell r="B44" t="str">
            <v>plateC_HF_50m_14</v>
          </cell>
          <cell r="C44">
            <v>6267076.6069999998</v>
          </cell>
          <cell r="D44">
            <v>6.2670766069999999</v>
          </cell>
          <cell r="E44" t="str">
            <v>plateC</v>
          </cell>
          <cell r="F44" t="str">
            <v>50m</v>
          </cell>
          <cell r="G44" t="str">
            <v>High Fluorescent</v>
          </cell>
          <cell r="H44" t="str">
            <v>08-04-2025-1233_Stemi 305_2x_plateC_HF_50m_14</v>
          </cell>
        </row>
        <row r="45">
          <cell r="B45" t="str">
            <v>plateC_HF_50m_13</v>
          </cell>
          <cell r="C45">
            <v>2194233.1880000001</v>
          </cell>
          <cell r="D45">
            <v>2.1942331880000001</v>
          </cell>
          <cell r="E45" t="str">
            <v>plateC</v>
          </cell>
          <cell r="F45" t="str">
            <v>50m</v>
          </cell>
          <cell r="G45" t="str">
            <v>High Fluorescent</v>
          </cell>
          <cell r="H45" t="str">
            <v>08-04-2025-1232_Stemi 305_2x_plateC_HF_50m_13</v>
          </cell>
        </row>
        <row r="46">
          <cell r="B46" t="str">
            <v>plateC_HF_50m_12</v>
          </cell>
          <cell r="C46">
            <v>3470609.003</v>
          </cell>
          <cell r="D46">
            <v>3.4706090029999999</v>
          </cell>
          <cell r="E46" t="str">
            <v>plateC</v>
          </cell>
          <cell r="F46" t="str">
            <v>50m</v>
          </cell>
          <cell r="G46" t="str">
            <v>High Fluorescent</v>
          </cell>
          <cell r="H46" t="str">
            <v>08-04-2025-1232_Stemi 305_2x_plateC_HF_50m_12</v>
          </cell>
        </row>
        <row r="47">
          <cell r="B47" t="str">
            <v>plateC_HF_50m_10</v>
          </cell>
          <cell r="C47">
            <v>1533710.2560000001</v>
          </cell>
          <cell r="D47">
            <v>1.533710256</v>
          </cell>
          <cell r="E47" t="str">
            <v>plateC</v>
          </cell>
          <cell r="F47" t="str">
            <v>50m</v>
          </cell>
          <cell r="G47" t="str">
            <v>High Fluorescent</v>
          </cell>
          <cell r="H47" t="str">
            <v>08-04-2025-1231_Stemi 305_2x_plateC_HF_50m_10</v>
          </cell>
        </row>
        <row r="48">
          <cell r="B48" t="str">
            <v>plateC_HF_50m_9</v>
          </cell>
          <cell r="C48">
            <v>4394621.4579999996</v>
          </cell>
          <cell r="D48">
            <v>4.3946214579999996</v>
          </cell>
          <cell r="E48" t="str">
            <v>plateC</v>
          </cell>
          <cell r="F48" t="str">
            <v>50m</v>
          </cell>
          <cell r="G48" t="str">
            <v>High Fluorescent</v>
          </cell>
          <cell r="H48" t="str">
            <v>08-04-2025-1230_Stemi 305_2x_plateC_HF_50m_9</v>
          </cell>
        </row>
        <row r="49">
          <cell r="B49" t="str">
            <v>plateC_HF_50m_8</v>
          </cell>
          <cell r="C49">
            <v>9367336.1899999995</v>
          </cell>
          <cell r="D49">
            <v>9.3673361899999996</v>
          </cell>
          <cell r="E49" t="str">
            <v>plateC</v>
          </cell>
          <cell r="F49" t="str">
            <v>50m</v>
          </cell>
          <cell r="G49" t="str">
            <v>High Fluorescent</v>
          </cell>
          <cell r="H49" t="str">
            <v>08-04-2025-1230_Stemi 305_2x_plateC_HF_50m_8</v>
          </cell>
        </row>
        <row r="50">
          <cell r="B50" t="str">
            <v>plateC_HF_50m_7</v>
          </cell>
          <cell r="C50">
            <v>11061195.24</v>
          </cell>
          <cell r="D50">
            <v>11.06119524</v>
          </cell>
          <cell r="E50" t="str">
            <v>plateC</v>
          </cell>
          <cell r="F50" t="str">
            <v>50m</v>
          </cell>
          <cell r="G50" t="str">
            <v>High Fluorescent</v>
          </cell>
          <cell r="H50" t="str">
            <v>08-04-2025-1229_Stemi 305_2x_plateC_HF_50m_7</v>
          </cell>
        </row>
        <row r="51">
          <cell r="B51" t="str">
            <v>plateC_HF_50m_6</v>
          </cell>
          <cell r="C51">
            <v>3272817.24</v>
          </cell>
          <cell r="D51">
            <v>3.2728172400000002</v>
          </cell>
          <cell r="E51" t="str">
            <v>plateC</v>
          </cell>
          <cell r="F51" t="str">
            <v>50m</v>
          </cell>
          <cell r="G51" t="str">
            <v>High Fluorescent</v>
          </cell>
          <cell r="H51" t="str">
            <v>08-04-2025-1228_Stemi 305_2x_plateC_HF_50m_6</v>
          </cell>
        </row>
        <row r="52">
          <cell r="B52" t="str">
            <v>plateC_HF_50m_5</v>
          </cell>
          <cell r="C52">
            <v>3958893.6349999998</v>
          </cell>
          <cell r="D52">
            <v>3.9588936349999995</v>
          </cell>
          <cell r="E52" t="str">
            <v>plateC</v>
          </cell>
          <cell r="F52" t="str">
            <v>50m</v>
          </cell>
          <cell r="G52" t="str">
            <v>High Fluorescent</v>
          </cell>
          <cell r="H52" t="str">
            <v>08-04-2025-1228_Stemi 305_2x_plateC_HF_50m_5</v>
          </cell>
        </row>
        <row r="53">
          <cell r="B53" t="str">
            <v>plateC_HF_50m_4</v>
          </cell>
          <cell r="C53">
            <v>1598580.8810000001</v>
          </cell>
          <cell r="D53">
            <v>1.598580881</v>
          </cell>
          <cell r="E53" t="str">
            <v>plateC</v>
          </cell>
          <cell r="F53" t="str">
            <v>50m</v>
          </cell>
          <cell r="G53" t="str">
            <v>High Fluorescent</v>
          </cell>
          <cell r="H53" t="str">
            <v>08-04-2025-1228_Stemi 305_2x_plateC_HF_50m_4</v>
          </cell>
        </row>
        <row r="54">
          <cell r="B54" t="str">
            <v>plateC_HF_50m_3</v>
          </cell>
          <cell r="C54">
            <v>2403514.9759999998</v>
          </cell>
          <cell r="D54">
            <v>2.4035149759999999</v>
          </cell>
          <cell r="E54" t="str">
            <v>plateC</v>
          </cell>
          <cell r="F54" t="str">
            <v>50m</v>
          </cell>
          <cell r="G54" t="str">
            <v>High Fluorescent</v>
          </cell>
          <cell r="H54" t="str">
            <v>08-04-2025-1228_Stemi 305_2x_plateC_HF_50m_3</v>
          </cell>
        </row>
        <row r="55">
          <cell r="B55" t="str">
            <v>plateC_HF_50m_2</v>
          </cell>
          <cell r="C55">
            <v>2011446.9680000001</v>
          </cell>
          <cell r="D55">
            <v>2.011446968</v>
          </cell>
          <cell r="E55" t="str">
            <v>plateC</v>
          </cell>
          <cell r="F55" t="str">
            <v>50m</v>
          </cell>
          <cell r="G55" t="str">
            <v>High Fluorescent</v>
          </cell>
          <cell r="H55" t="str">
            <v>08-04-2025-1228_Stemi 305_2x_plateC_HF_50m_2</v>
          </cell>
        </row>
        <row r="56">
          <cell r="B56" t="str">
            <v>plateC_HF_50m_1</v>
          </cell>
          <cell r="C56">
            <v>5198712.1449999996</v>
          </cell>
          <cell r="D56">
            <v>5.1987121449999991</v>
          </cell>
          <cell r="E56" t="str">
            <v>plateC</v>
          </cell>
          <cell r="F56" t="str">
            <v>50m</v>
          </cell>
          <cell r="G56" t="str">
            <v>High Fluorescent</v>
          </cell>
          <cell r="H56" t="str">
            <v>08-04-2025-1227_Stemi 305_2x_plateC_HF_50m_1</v>
          </cell>
        </row>
        <row r="57">
          <cell r="B57" t="str">
            <v>plateC_NF_27C_4</v>
          </cell>
          <cell r="C57">
            <v>2397018.9410000001</v>
          </cell>
          <cell r="D57">
            <v>2.3970189409999998</v>
          </cell>
          <cell r="E57" t="str">
            <v>plateC</v>
          </cell>
          <cell r="F57" t="str">
            <v>27C</v>
          </cell>
          <cell r="G57" t="str">
            <v>Non Fluorescent</v>
          </cell>
          <cell r="H57" t="str">
            <v>08-04-2025-1227_Stemi 305_2x_plateC_NF_27C_4</v>
          </cell>
        </row>
        <row r="58">
          <cell r="B58" t="str">
            <v>plateC_NF_27C_3</v>
          </cell>
          <cell r="C58">
            <v>1818001.5079999999</v>
          </cell>
          <cell r="D58">
            <v>1.8180015079999998</v>
          </cell>
          <cell r="E58" t="str">
            <v>plateC</v>
          </cell>
          <cell r="F58" t="str">
            <v>27C</v>
          </cell>
          <cell r="G58" t="str">
            <v>Non Fluorescent</v>
          </cell>
          <cell r="H58" t="str">
            <v>08-04-2025-1226_Stemi 305_2x_plateC_NF_27C_3</v>
          </cell>
        </row>
        <row r="59">
          <cell r="B59" t="str">
            <v>plateC_NF_27C_2</v>
          </cell>
          <cell r="C59">
            <v>2062329.584</v>
          </cell>
          <cell r="D59">
            <v>2.062329584</v>
          </cell>
          <cell r="E59" t="str">
            <v>plateC</v>
          </cell>
          <cell r="F59" t="str">
            <v>27C</v>
          </cell>
          <cell r="G59" t="str">
            <v>Non Fluorescent</v>
          </cell>
          <cell r="H59" t="str">
            <v>08-04-2025-1226_Stemi 305_2x_plateC_NF_27C_2</v>
          </cell>
        </row>
        <row r="60">
          <cell r="B60" t="str">
            <v>plateD_NF_50m_1</v>
          </cell>
          <cell r="C60">
            <v>1638998.13</v>
          </cell>
          <cell r="D60">
            <v>1.6389981299999998</v>
          </cell>
          <cell r="E60" t="str">
            <v>plateD</v>
          </cell>
          <cell r="F60" t="str">
            <v>50m</v>
          </cell>
          <cell r="G60" t="str">
            <v>Non Fluorescent</v>
          </cell>
          <cell r="H60" t="str">
            <v>08-04-2025-1315_Stemi 305_2x_plateD_NF_50m_1</v>
          </cell>
        </row>
        <row r="61">
          <cell r="B61" t="str">
            <v>plateD_NF_50m_2</v>
          </cell>
          <cell r="C61">
            <v>1191276.5090000001</v>
          </cell>
          <cell r="D61">
            <v>1.1912765089999999</v>
          </cell>
          <cell r="E61" t="str">
            <v>plateD</v>
          </cell>
          <cell r="F61" t="str">
            <v>50m</v>
          </cell>
          <cell r="G61" t="str">
            <v>Non Fluorescent</v>
          </cell>
          <cell r="H61" t="str">
            <v>08-04-2025-1315_Stemi 305_2x_plateD_NF_50m_2</v>
          </cell>
        </row>
        <row r="62">
          <cell r="B62" t="str">
            <v>plateD_NF_50m_3</v>
          </cell>
          <cell r="C62">
            <v>1720124.43</v>
          </cell>
          <cell r="D62">
            <v>1.7201244299999998</v>
          </cell>
          <cell r="E62" t="str">
            <v>plateD</v>
          </cell>
          <cell r="F62" t="str">
            <v>50m</v>
          </cell>
          <cell r="G62" t="str">
            <v>Non Fluorescent</v>
          </cell>
          <cell r="H62" t="str">
            <v>08-04-2025-1315_Stemi 305_2x_plateD_NF_50m_3</v>
          </cell>
        </row>
        <row r="63">
          <cell r="B63" t="str">
            <v>plateD_NF_50m_4</v>
          </cell>
          <cell r="C63">
            <v>3122543.2009999999</v>
          </cell>
          <cell r="D63">
            <v>3.1225432009999996</v>
          </cell>
          <cell r="E63" t="str">
            <v>plateD</v>
          </cell>
          <cell r="F63" t="str">
            <v>50m</v>
          </cell>
          <cell r="G63" t="str">
            <v>Non Fluorescent</v>
          </cell>
          <cell r="H63" t="str">
            <v>08-04-2025-1316_Stemi 305_2x_plateD_NF_50m_4</v>
          </cell>
        </row>
        <row r="64">
          <cell r="B64" t="str">
            <v>plateD_NF_50m_5</v>
          </cell>
          <cell r="C64">
            <v>4002828.466</v>
          </cell>
          <cell r="D64">
            <v>4.0028284659999995</v>
          </cell>
          <cell r="E64" t="str">
            <v>plateD</v>
          </cell>
          <cell r="F64" t="str">
            <v>50m</v>
          </cell>
          <cell r="G64" t="str">
            <v>Non Fluorescent</v>
          </cell>
          <cell r="H64" t="str">
            <v>08-04-2025-1316_Stemi 305_2x_plateD_NF_50m_5</v>
          </cell>
        </row>
        <row r="65">
          <cell r="B65" t="str">
            <v>plateD_NF_50m_6</v>
          </cell>
          <cell r="C65">
            <v>1683578.223</v>
          </cell>
          <cell r="D65">
            <v>1.6835782229999998</v>
          </cell>
          <cell r="E65" t="str">
            <v>plateD</v>
          </cell>
          <cell r="F65" t="str">
            <v>50m</v>
          </cell>
          <cell r="G65" t="str">
            <v>Non Fluorescent</v>
          </cell>
          <cell r="H65" t="str">
            <v>08-04-2025-1316_Stemi 305_2x_plateD_NF_50m_6</v>
          </cell>
        </row>
        <row r="66">
          <cell r="B66" t="str">
            <v>plateD_HF_DARK_1</v>
          </cell>
          <cell r="C66">
            <v>2355833.6919999998</v>
          </cell>
          <cell r="D66">
            <v>2.3558336919999996</v>
          </cell>
          <cell r="E66" t="str">
            <v>plateD</v>
          </cell>
          <cell r="F66" t="str">
            <v>DAR</v>
          </cell>
          <cell r="G66" t="str">
            <v>High Fluorescent</v>
          </cell>
          <cell r="H66" t="str">
            <v>08-04-2025-1317_Stemi 305_2x_plateD_HF_DARK_1</v>
          </cell>
        </row>
        <row r="67">
          <cell r="B67" t="str">
            <v>plateD_NF_50m_7</v>
          </cell>
          <cell r="C67">
            <v>8494521.6319999993</v>
          </cell>
          <cell r="D67">
            <v>8.4945216319999997</v>
          </cell>
          <cell r="E67" t="str">
            <v>plateD</v>
          </cell>
          <cell r="F67" t="str">
            <v>50m</v>
          </cell>
          <cell r="G67" t="str">
            <v>Non Fluorescent</v>
          </cell>
          <cell r="H67" t="str">
            <v>08-04-2025-1317_Stemi 305_2x_plateD_NF_50m_7</v>
          </cell>
        </row>
        <row r="68">
          <cell r="B68" t="str">
            <v>plateD_NF_50m_8</v>
          </cell>
          <cell r="C68">
            <v>5510879.5539999995</v>
          </cell>
          <cell r="D68">
            <v>5.5108795539999988</v>
          </cell>
          <cell r="E68" t="str">
            <v>plateD</v>
          </cell>
          <cell r="F68" t="str">
            <v>50m</v>
          </cell>
          <cell r="G68" t="str">
            <v>Non Fluorescent</v>
          </cell>
          <cell r="H68" t="str">
            <v>08-04-2025-1317_Stemi 305_2x_plateD_NF_50m_8</v>
          </cell>
        </row>
        <row r="69">
          <cell r="B69" t="str">
            <v>plateD_HF_DARK_2</v>
          </cell>
          <cell r="C69">
            <v>6466885.5360000003</v>
          </cell>
          <cell r="D69">
            <v>6.4668855360000004</v>
          </cell>
          <cell r="E69" t="str">
            <v>plateD</v>
          </cell>
          <cell r="F69" t="str">
            <v>DAR</v>
          </cell>
          <cell r="G69" t="str">
            <v>High Fluorescent</v>
          </cell>
          <cell r="H69" t="str">
            <v>08-04-2025-1318_Stemi 305_2x_plateD_HF_DARK_2</v>
          </cell>
        </row>
        <row r="70">
          <cell r="B70" t="str">
            <v>plateD_HF_DARK_3</v>
          </cell>
          <cell r="C70">
            <v>2275760.5970000001</v>
          </cell>
          <cell r="D70">
            <v>2.2757605970000001</v>
          </cell>
          <cell r="E70" t="str">
            <v>plateD</v>
          </cell>
          <cell r="F70" t="str">
            <v>DAR</v>
          </cell>
          <cell r="G70" t="str">
            <v>High Fluorescent</v>
          </cell>
          <cell r="H70" t="str">
            <v>08-04-2025-1318_Stemi 305_2x_plateD_HF_DARK_3</v>
          </cell>
        </row>
        <row r="71">
          <cell r="B71" t="str">
            <v>plateD_HF_DARK_4</v>
          </cell>
          <cell r="C71">
            <v>1850358.531</v>
          </cell>
          <cell r="D71">
            <v>1.8503585309999999</v>
          </cell>
          <cell r="E71" t="str">
            <v>plateD</v>
          </cell>
          <cell r="F71" t="str">
            <v>DAR</v>
          </cell>
          <cell r="G71" t="str">
            <v>High Fluorescent</v>
          </cell>
          <cell r="H71" t="str">
            <v>08-04-2025-1319_Stemi 305_2x_plateD_HF_DARK_4</v>
          </cell>
        </row>
        <row r="72">
          <cell r="B72" t="str">
            <v>plateD_HF_DARK_5</v>
          </cell>
          <cell r="C72">
            <v>1828629.7919999999</v>
          </cell>
          <cell r="D72">
            <v>1.8286297919999999</v>
          </cell>
          <cell r="E72" t="str">
            <v>plateD</v>
          </cell>
          <cell r="F72" t="str">
            <v>DAR</v>
          </cell>
          <cell r="G72" t="str">
            <v>High Fluorescent</v>
          </cell>
          <cell r="H72" t="str">
            <v>08-04-2025-1319_Stemi 305_2x_plateD_HF_DARK_5</v>
          </cell>
        </row>
        <row r="73">
          <cell r="B73" t="str">
            <v>plateD_HF_DARK_6</v>
          </cell>
          <cell r="C73">
            <v>3328083.0240000002</v>
          </cell>
          <cell r="D73">
            <v>3.3280830240000001</v>
          </cell>
          <cell r="E73" t="str">
            <v>plateD</v>
          </cell>
          <cell r="F73" t="str">
            <v>DAR</v>
          </cell>
          <cell r="G73" t="str">
            <v>High Fluorescent</v>
          </cell>
          <cell r="H73" t="str">
            <v>08-04-2025-1319_Stemi 305_2x_plateD_HF_DARK_6</v>
          </cell>
        </row>
        <row r="74">
          <cell r="B74" t="str">
            <v>plateD_HF_DARK_7</v>
          </cell>
          <cell r="C74">
            <v>1442199.814</v>
          </cell>
          <cell r="D74">
            <v>1.4421998139999999</v>
          </cell>
          <cell r="E74" t="str">
            <v>plateD</v>
          </cell>
          <cell r="F74" t="str">
            <v>DAR</v>
          </cell>
          <cell r="G74" t="str">
            <v>High Fluorescent</v>
          </cell>
          <cell r="H74" t="str">
            <v>08-04-2025-1319_Stemi 305_2x_plateD_HF_DARK_7</v>
          </cell>
        </row>
        <row r="75">
          <cell r="B75" t="str">
            <v>plateD_HF_DARK_8</v>
          </cell>
          <cell r="C75">
            <v>6545277.1220000004</v>
          </cell>
          <cell r="D75">
            <v>6.5452771219999999</v>
          </cell>
          <cell r="E75" t="str">
            <v>plateD</v>
          </cell>
          <cell r="F75" t="str">
            <v>DAR</v>
          </cell>
          <cell r="G75" t="str">
            <v>High Fluorescent</v>
          </cell>
          <cell r="H75" t="str">
            <v>08-04-2025-1319_Stemi 305_2x_plateD_HF_DARK_8</v>
          </cell>
        </row>
        <row r="76">
          <cell r="B76" t="str">
            <v>plateD_HF_DARK_9</v>
          </cell>
          <cell r="C76">
            <v>6713414.1459999997</v>
          </cell>
          <cell r="D76">
            <v>6.713414145999999</v>
          </cell>
          <cell r="E76" t="str">
            <v>plateD</v>
          </cell>
          <cell r="F76" t="str">
            <v>DAR</v>
          </cell>
          <cell r="G76" t="str">
            <v>High Fluorescent</v>
          </cell>
          <cell r="H76" t="str">
            <v>08-04-2025-1320_Stemi 305_2x_plateD_HF_DARK_9</v>
          </cell>
        </row>
        <row r="77">
          <cell r="B77" t="str">
            <v>plateD_NF_DARK_1</v>
          </cell>
          <cell r="C77">
            <v>3422052.9029999999</v>
          </cell>
          <cell r="D77">
            <v>3.422052903</v>
          </cell>
          <cell r="E77" t="str">
            <v>plateD</v>
          </cell>
          <cell r="F77" t="str">
            <v>DAR</v>
          </cell>
          <cell r="G77" t="str">
            <v>Non Fluorescent</v>
          </cell>
          <cell r="H77" t="str">
            <v>08-04-2025-1320_Stemi 305_2x_plateD_NF_DARK_1</v>
          </cell>
        </row>
        <row r="78">
          <cell r="B78" t="str">
            <v>plateD_NF_DARK_2</v>
          </cell>
          <cell r="C78">
            <v>5197137.6339999996</v>
          </cell>
          <cell r="D78">
            <v>5.1971376339999997</v>
          </cell>
          <cell r="E78" t="str">
            <v>plateD</v>
          </cell>
          <cell r="F78" t="str">
            <v>DAR</v>
          </cell>
          <cell r="G78" t="str">
            <v>Non Fluorescent</v>
          </cell>
          <cell r="H78" t="str">
            <v>08-04-2025-1320_Stemi 305_2x_plateD_NF_DARK_2</v>
          </cell>
        </row>
        <row r="79">
          <cell r="B79" t="str">
            <v>plateD_NF_DARK_3</v>
          </cell>
          <cell r="C79">
            <v>4568036.3770000003</v>
          </cell>
          <cell r="D79">
            <v>4.5680363770000003</v>
          </cell>
          <cell r="E79" t="str">
            <v>plateD</v>
          </cell>
          <cell r="F79" t="str">
            <v>DAR</v>
          </cell>
          <cell r="G79" t="str">
            <v>Non Fluorescent</v>
          </cell>
          <cell r="H79" t="str">
            <v>08-04-2025-1320_Stemi 305_2x_plateD_NF_DARK_3</v>
          </cell>
        </row>
        <row r="80">
          <cell r="B80" t="str">
            <v>plateE_NF_DARK_1</v>
          </cell>
          <cell r="C80">
            <v>2021762.314</v>
          </cell>
          <cell r="D80">
            <v>2.0217623140000001</v>
          </cell>
          <cell r="E80" t="str">
            <v>plateE</v>
          </cell>
          <cell r="F80" t="str">
            <v>DAR</v>
          </cell>
          <cell r="G80" t="str">
            <v>Non Fluorescent</v>
          </cell>
          <cell r="H80" t="str">
            <v>08-04-2025-1456_Stemi 305_2x_plateE_NF_DARK_1</v>
          </cell>
        </row>
        <row r="81">
          <cell r="B81" t="str">
            <v>plateE_HF_control_1</v>
          </cell>
          <cell r="C81">
            <v>2117649.219</v>
          </cell>
          <cell r="D81">
            <v>2.117649219</v>
          </cell>
          <cell r="E81" t="str">
            <v>plateE</v>
          </cell>
          <cell r="F81" t="str">
            <v>con</v>
          </cell>
          <cell r="G81" t="str">
            <v>High Fluorescent</v>
          </cell>
          <cell r="H81" t="str">
            <v>08-04-2025-1457_Stemi 305_2x_plateE_HF_control_1</v>
          </cell>
        </row>
        <row r="82">
          <cell r="B82" t="str">
            <v>plateE_HF_control_2</v>
          </cell>
          <cell r="C82">
            <v>1179688.558</v>
          </cell>
          <cell r="D82">
            <v>1.1796885579999998</v>
          </cell>
          <cell r="E82" t="str">
            <v>plateE</v>
          </cell>
          <cell r="F82" t="str">
            <v>con</v>
          </cell>
          <cell r="G82" t="str">
            <v>High Fluorescent</v>
          </cell>
          <cell r="H82" t="str">
            <v>08-04-2025-1457_Stemi 305_2x_plateE_HF_control_2</v>
          </cell>
        </row>
        <row r="83">
          <cell r="B83" t="str">
            <v>plateE_NF_DARK_2</v>
          </cell>
          <cell r="C83">
            <v>3175212.9160000002</v>
          </cell>
          <cell r="D83">
            <v>3.175212916</v>
          </cell>
          <cell r="E83" t="str">
            <v>plateE</v>
          </cell>
          <cell r="F83" t="str">
            <v>DAR</v>
          </cell>
          <cell r="G83" t="str">
            <v>Non Fluorescent</v>
          </cell>
          <cell r="H83" t="str">
            <v>08-04-2025-1457_Stemi 305_2x_plateE_NF_DARK_2</v>
          </cell>
        </row>
        <row r="84">
          <cell r="B84" t="str">
            <v>plateE_NF_DARK_3</v>
          </cell>
          <cell r="C84">
            <v>1267875.102</v>
          </cell>
          <cell r="D84">
            <v>1.2678751019999999</v>
          </cell>
          <cell r="E84" t="str">
            <v>plateE</v>
          </cell>
          <cell r="F84" t="str">
            <v>DAR</v>
          </cell>
          <cell r="G84" t="str">
            <v>Non Fluorescent</v>
          </cell>
          <cell r="H84" t="str">
            <v>08-04-2025-1457_Stemi 305_2x_plateE_NF_DARK_3</v>
          </cell>
        </row>
        <row r="85">
          <cell r="B85" t="str">
            <v>plateE_HF_control_3</v>
          </cell>
          <cell r="C85">
            <v>1621366.1410000001</v>
          </cell>
          <cell r="D85">
            <v>1.621366141</v>
          </cell>
          <cell r="E85" t="str">
            <v>plateE</v>
          </cell>
          <cell r="F85" t="str">
            <v>con</v>
          </cell>
          <cell r="G85" t="str">
            <v>High Fluorescent</v>
          </cell>
          <cell r="H85" t="str">
            <v>08-04-2025-1458_Stemi 305_2x_plateE_HF_control_3</v>
          </cell>
        </row>
        <row r="86">
          <cell r="B86" t="str">
            <v>plateE_HF_control_4</v>
          </cell>
          <cell r="C86">
            <v>1684232.639</v>
          </cell>
          <cell r="D86">
            <v>1.684232639</v>
          </cell>
          <cell r="E86" t="str">
            <v>plateE</v>
          </cell>
          <cell r="F86" t="str">
            <v>con</v>
          </cell>
          <cell r="G86" t="str">
            <v>High Fluorescent</v>
          </cell>
          <cell r="H86" t="str">
            <v>08-04-2025-1458_Stemi 305_2x_plateE_HF_control_4</v>
          </cell>
        </row>
        <row r="87">
          <cell r="B87" t="str">
            <v>plateE_HF_control_5</v>
          </cell>
          <cell r="C87">
            <v>2182205.9589999998</v>
          </cell>
          <cell r="D87">
            <v>2.1822059589999996</v>
          </cell>
          <cell r="E87" t="str">
            <v>plateE</v>
          </cell>
          <cell r="F87" t="str">
            <v>con</v>
          </cell>
          <cell r="G87" t="str">
            <v>High Fluorescent</v>
          </cell>
          <cell r="H87" t="str">
            <v>08-04-2025-1458_Stemi 305_2x_plateE_HF_control_5</v>
          </cell>
        </row>
        <row r="88">
          <cell r="B88" t="str">
            <v>plateE_HF_control_6</v>
          </cell>
          <cell r="C88">
            <v>1201704.601</v>
          </cell>
          <cell r="D88">
            <v>1.2017046009999999</v>
          </cell>
          <cell r="E88" t="str">
            <v>plateE</v>
          </cell>
          <cell r="F88" t="str">
            <v>con</v>
          </cell>
          <cell r="G88" t="str">
            <v>High Fluorescent</v>
          </cell>
          <cell r="H88" t="str">
            <v>08-04-2025-1458_Stemi 305_2x_plateE_HF_control_6</v>
          </cell>
        </row>
        <row r="89">
          <cell r="B89" t="str">
            <v>plateE_HF_control_7</v>
          </cell>
          <cell r="C89">
            <v>1373480.8160000001</v>
          </cell>
          <cell r="D89">
            <v>1.373480816</v>
          </cell>
          <cell r="E89" t="str">
            <v>plateE</v>
          </cell>
          <cell r="F89" t="str">
            <v>con</v>
          </cell>
          <cell r="G89" t="str">
            <v>High Fluorescent</v>
          </cell>
          <cell r="H89" t="str">
            <v>08-04-2025-1459_Stemi 305_2x_plateE_HF_control_7</v>
          </cell>
        </row>
        <row r="90">
          <cell r="B90" t="str">
            <v>plateE_HF_control_8</v>
          </cell>
          <cell r="C90">
            <v>3690246.406</v>
          </cell>
          <cell r="D90">
            <v>3.690246406</v>
          </cell>
          <cell r="E90" t="str">
            <v>plateE</v>
          </cell>
          <cell r="F90" t="str">
            <v>con</v>
          </cell>
          <cell r="G90" t="str">
            <v>High Fluorescent</v>
          </cell>
          <cell r="H90" t="str">
            <v>08-04-2025-1459_Stemi 305_2x_plateE_HF_control_8</v>
          </cell>
        </row>
        <row r="91">
          <cell r="B91" t="str">
            <v>plateE_HF_control_9</v>
          </cell>
          <cell r="C91">
            <v>2047981.517</v>
          </cell>
          <cell r="D91">
            <v>2.0479815169999998</v>
          </cell>
          <cell r="E91" t="str">
            <v>plateE</v>
          </cell>
          <cell r="F91" t="str">
            <v>con</v>
          </cell>
          <cell r="G91" t="str">
            <v>High Fluorescent</v>
          </cell>
          <cell r="H91" t="str">
            <v>08-04-2025-1459_Stemi 305_2x_plateE_HF_control_9</v>
          </cell>
        </row>
        <row r="92">
          <cell r="B92" t="str">
            <v>plateE_HF_control_10</v>
          </cell>
          <cell r="C92">
            <v>4181308.4539999999</v>
          </cell>
          <cell r="D92">
            <v>4.1813084539999998</v>
          </cell>
          <cell r="E92" t="str">
            <v>plateE</v>
          </cell>
          <cell r="F92" t="str">
            <v>con</v>
          </cell>
          <cell r="G92" t="str">
            <v>High Fluorescent</v>
          </cell>
          <cell r="H92" t="str">
            <v>08-04-2025-1500_Stemi 305_2x_plateE_HF_control_10</v>
          </cell>
        </row>
        <row r="93">
          <cell r="B93" t="str">
            <v>plateE_HF_control_11</v>
          </cell>
          <cell r="C93">
            <v>2271364.1</v>
          </cell>
          <cell r="D93">
            <v>2.2713641</v>
          </cell>
          <cell r="E93" t="str">
            <v>plateE</v>
          </cell>
          <cell r="F93" t="str">
            <v>con</v>
          </cell>
          <cell r="G93" t="str">
            <v>High Fluorescent</v>
          </cell>
          <cell r="H93" t="str">
            <v>08-04-2025-1500_Stemi 305_2x_plateE_HF_control_11</v>
          </cell>
        </row>
        <row r="94">
          <cell r="B94" t="str">
            <v>plateE_HF_control_13</v>
          </cell>
          <cell r="C94">
            <v>2161626.4389999998</v>
          </cell>
          <cell r="D94">
            <v>2.1616264389999995</v>
          </cell>
          <cell r="E94" t="str">
            <v>plateE</v>
          </cell>
          <cell r="F94" t="str">
            <v>con</v>
          </cell>
          <cell r="G94" t="str">
            <v>High Fluorescent</v>
          </cell>
          <cell r="H94" t="str">
            <v>08-04-2025-1500_Stemi 305_2x_plateE_HF_control_13</v>
          </cell>
        </row>
        <row r="95">
          <cell r="B95" t="str">
            <v>plateE_HF_control_14</v>
          </cell>
          <cell r="C95">
            <v>2189425.8169999998</v>
          </cell>
          <cell r="D95">
            <v>2.1894258169999996</v>
          </cell>
          <cell r="E95" t="str">
            <v>plateE</v>
          </cell>
          <cell r="F95" t="str">
            <v>con</v>
          </cell>
          <cell r="G95" t="str">
            <v>High Fluorescent</v>
          </cell>
          <cell r="H95" t="str">
            <v>08-04-2025-1501_Stemi 305_2x_plateE_HF_control_14</v>
          </cell>
        </row>
        <row r="96">
          <cell r="B96" t="str">
            <v>plateE_HF_control_15</v>
          </cell>
          <cell r="C96">
            <v>2272600.4920000001</v>
          </cell>
          <cell r="D96">
            <v>2.272600492</v>
          </cell>
          <cell r="E96" t="str">
            <v>plateE</v>
          </cell>
          <cell r="F96" t="str">
            <v>con</v>
          </cell>
          <cell r="G96" t="str">
            <v>High Fluorescent</v>
          </cell>
          <cell r="H96" t="str">
            <v>08-04-2025-1501_Stemi 305_2x_plateE_HF_control_15</v>
          </cell>
        </row>
        <row r="97">
          <cell r="B97" t="str">
            <v>plateE_NF_control_1</v>
          </cell>
          <cell r="C97">
            <v>1603191.4669999999</v>
          </cell>
          <cell r="D97">
            <v>1.6031914669999998</v>
          </cell>
          <cell r="E97" t="str">
            <v>plateE</v>
          </cell>
          <cell r="F97" t="str">
            <v>con</v>
          </cell>
          <cell r="G97" t="str">
            <v>Non Fluorescent</v>
          </cell>
          <cell r="H97" t="str">
            <v>08-04-2025-1502_Stemi 305_2x_plateE_NF_control_1</v>
          </cell>
        </row>
        <row r="98">
          <cell r="B98" t="str">
            <v>plateE_NF_control_2</v>
          </cell>
          <cell r="C98">
            <v>1832870.165</v>
          </cell>
          <cell r="D98">
            <v>1.8328701649999999</v>
          </cell>
          <cell r="E98" t="str">
            <v>plateE</v>
          </cell>
          <cell r="F98" t="str">
            <v>con</v>
          </cell>
          <cell r="G98" t="str">
            <v>Non Fluorescent</v>
          </cell>
          <cell r="H98" t="str">
            <v>08-04-2025-1502_Stemi 305_2x_plateE_NF_control_2</v>
          </cell>
        </row>
        <row r="99">
          <cell r="B99" t="str">
            <v>plateF_NF_control_1</v>
          </cell>
          <cell r="C99">
            <v>2204525.2680000002</v>
          </cell>
          <cell r="D99">
            <v>2.2045252680000003</v>
          </cell>
          <cell r="E99" t="str">
            <v>plateF</v>
          </cell>
          <cell r="F99" t="str">
            <v>con</v>
          </cell>
          <cell r="G99" t="str">
            <v>Non Fluorescent</v>
          </cell>
          <cell r="H99" t="str">
            <v>08-04-2025-1441_Stemi 305_2x_plateF_NF_control_1</v>
          </cell>
        </row>
        <row r="100">
          <cell r="B100" t="str">
            <v>plateF_NF_control_2</v>
          </cell>
          <cell r="C100">
            <v>1971122.2220000001</v>
          </cell>
          <cell r="D100">
            <v>1.971122222</v>
          </cell>
          <cell r="E100" t="str">
            <v>plateF</v>
          </cell>
          <cell r="F100" t="str">
            <v>con</v>
          </cell>
          <cell r="G100" t="str">
            <v>Non Fluorescent</v>
          </cell>
          <cell r="H100" t="str">
            <v>08-04-2025-1441_Stemi 305_2x_plateF_NF_control_2</v>
          </cell>
        </row>
        <row r="101">
          <cell r="B101" t="str">
            <v>plateF_NF_control_3</v>
          </cell>
          <cell r="C101">
            <v>2350784.58</v>
          </cell>
          <cell r="D101">
            <v>2.35078458</v>
          </cell>
          <cell r="E101" t="str">
            <v>plateF</v>
          </cell>
          <cell r="F101" t="str">
            <v>con</v>
          </cell>
          <cell r="G101" t="str">
            <v>Non Fluorescent</v>
          </cell>
          <cell r="H101" t="str">
            <v>08-04-2025-1442_Stemi 305_2x_plateF_NF_control_3</v>
          </cell>
        </row>
        <row r="102">
          <cell r="B102" t="str">
            <v>plateF_NF_control_4</v>
          </cell>
          <cell r="C102">
            <v>3582150.719</v>
          </cell>
          <cell r="D102">
            <v>3.5821507189999999</v>
          </cell>
          <cell r="E102" t="str">
            <v>plateF</v>
          </cell>
          <cell r="F102" t="str">
            <v>con</v>
          </cell>
          <cell r="G102" t="str">
            <v>Non Fluorescent</v>
          </cell>
          <cell r="H102" t="str">
            <v>08-04-2025-1442_Stemi 305_2x_plateF_NF_control_4</v>
          </cell>
        </row>
        <row r="103">
          <cell r="B103" t="str">
            <v>plateF_NF_control_5</v>
          </cell>
          <cell r="C103">
            <v>1623063.3670000001</v>
          </cell>
          <cell r="D103">
            <v>1.6230633670000001</v>
          </cell>
          <cell r="E103" t="str">
            <v>plateF</v>
          </cell>
          <cell r="F103" t="str">
            <v>con</v>
          </cell>
          <cell r="G103" t="str">
            <v>Non Fluorescent</v>
          </cell>
          <cell r="H103" t="str">
            <v>08-04-2025-1442_Stemi 305_2x_plateF_NF_control_5</v>
          </cell>
        </row>
        <row r="104">
          <cell r="B104" t="str">
            <v>plateF_NF_control_7</v>
          </cell>
          <cell r="C104">
            <v>1971276.5149999999</v>
          </cell>
          <cell r="D104">
            <v>1.9712765149999998</v>
          </cell>
          <cell r="E104" t="str">
            <v>plateF</v>
          </cell>
          <cell r="F104" t="str">
            <v>con</v>
          </cell>
          <cell r="G104" t="str">
            <v>Non Fluorescent</v>
          </cell>
          <cell r="H104" t="str">
            <v>08-04-2025-1443_Stemi 305_2x_plateF_NF_control_7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05"/>
  <sheetViews>
    <sheetView tabSelected="1" topLeftCell="B19" workbookViewId="0">
      <selection activeCell="B30" sqref="B30"/>
    </sheetView>
  </sheetViews>
  <sheetFormatPr defaultRowHeight="15" x14ac:dyDescent="0.25"/>
  <cols>
    <col min="2" max="2" width="24.85546875" customWidth="1"/>
    <col min="4" max="4" width="13.85546875" customWidth="1"/>
    <col min="5" max="5" width="11.85546875" customWidth="1"/>
    <col min="6" max="6" width="13.140625" customWidth="1"/>
  </cols>
  <sheetData>
    <row r="1" spans="1:8" s="8" customFormat="1" ht="45.75" thickBot="1" x14ac:dyDescent="0.3">
      <c r="A1" s="9" t="s">
        <v>0</v>
      </c>
      <c r="B1" s="9" t="s">
        <v>1</v>
      </c>
      <c r="C1" s="9" t="s">
        <v>2</v>
      </c>
      <c r="D1" s="9" t="s">
        <v>4</v>
      </c>
      <c r="E1" s="9" t="s">
        <v>3</v>
      </c>
      <c r="F1" s="9" t="s">
        <v>23</v>
      </c>
      <c r="G1" s="9" t="s">
        <v>25</v>
      </c>
      <c r="H1" s="9" t="s">
        <v>26</v>
      </c>
    </row>
    <row r="2" spans="1:8" ht="15.75" thickBot="1" x14ac:dyDescent="0.3">
      <c r="B2" s="18" t="s">
        <v>104</v>
      </c>
      <c r="C2" t="str">
        <f>MID(B2,1,6)</f>
        <v>plateE</v>
      </c>
      <c r="D2" t="str">
        <f>MID(B2,8,2)</f>
        <v>HF</v>
      </c>
      <c r="E2">
        <v>23</v>
      </c>
      <c r="F2">
        <v>1.3022614941245523</v>
      </c>
      <c r="G2">
        <f>VLOOKUP(B2,[1]Sheet1!$B$2:$H$104,3,FALSE)</f>
        <v>1.621366141</v>
      </c>
      <c r="H2">
        <f>F2/G2</f>
        <v>0.8031877940422294</v>
      </c>
    </row>
    <row r="3" spans="1:8" ht="15.75" thickBot="1" x14ac:dyDescent="0.3">
      <c r="B3" s="19" t="s">
        <v>105</v>
      </c>
      <c r="C3" t="str">
        <f>MID(B3,1,6)</f>
        <v>plateE</v>
      </c>
      <c r="D3" t="str">
        <f>MID(B3,8,2)</f>
        <v>HF</v>
      </c>
      <c r="E3">
        <v>23</v>
      </c>
      <c r="F3">
        <v>3.0034027038993365</v>
      </c>
      <c r="G3">
        <f>VLOOKUP(B3,[1]Sheet1!$B$2:$H$104,3,FALSE)</f>
        <v>3.690246406</v>
      </c>
      <c r="H3">
        <f>F3/G3</f>
        <v>0.81387592411609178</v>
      </c>
    </row>
    <row r="4" spans="1:8" ht="15.75" thickBot="1" x14ac:dyDescent="0.3">
      <c r="B4" s="3" t="s">
        <v>121</v>
      </c>
      <c r="C4" t="str">
        <f>MID(B4,1,6)</f>
        <v>plateE</v>
      </c>
      <c r="D4" t="str">
        <f>MID(B4,8,2)</f>
        <v>HF</v>
      </c>
      <c r="E4">
        <v>23</v>
      </c>
      <c r="F4">
        <v>1.9493542807035458</v>
      </c>
      <c r="G4">
        <f>VLOOKUP(B4,[1]Sheet1!$B$2:$H$104,3,FALSE)</f>
        <v>2.1616264389999995</v>
      </c>
      <c r="H4">
        <f>F4/G4</f>
        <v>0.90179979553051082</v>
      </c>
    </row>
    <row r="5" spans="1:8" ht="15.75" thickBot="1" x14ac:dyDescent="0.3">
      <c r="B5" s="18" t="s">
        <v>107</v>
      </c>
      <c r="C5" t="str">
        <f>MID(B5,1,6)</f>
        <v>plateE</v>
      </c>
      <c r="D5" t="str">
        <f>MID(B5,8,2)</f>
        <v>HF</v>
      </c>
      <c r="E5">
        <v>23</v>
      </c>
      <c r="F5">
        <v>2.021919965082263</v>
      </c>
      <c r="G5">
        <f>VLOOKUP(B5,[1]Sheet1!$B$2:$H$104,3,FALSE)</f>
        <v>1.684232639</v>
      </c>
      <c r="H5">
        <f>F5/G5</f>
        <v>1.2004992174256652</v>
      </c>
    </row>
    <row r="6" spans="1:8" ht="15.75" thickBot="1" x14ac:dyDescent="0.3">
      <c r="B6" s="10" t="s">
        <v>108</v>
      </c>
      <c r="C6" t="str">
        <f>MID(B6,1,6)</f>
        <v>plateE</v>
      </c>
      <c r="D6" t="str">
        <f>MID(B6,8,2)</f>
        <v>HF</v>
      </c>
      <c r="E6">
        <v>23</v>
      </c>
      <c r="F6">
        <v>2.6421782366726827</v>
      </c>
      <c r="G6">
        <f>VLOOKUP(B6,[1]Sheet1!$B$2:$H$104,3,FALSE)</f>
        <v>2.0479815169999998</v>
      </c>
      <c r="H6">
        <f>F6/G6</f>
        <v>1.2901377354924064</v>
      </c>
    </row>
    <row r="7" spans="1:8" ht="15.75" thickBot="1" x14ac:dyDescent="0.3">
      <c r="B7" s="3" t="s">
        <v>109</v>
      </c>
      <c r="C7" t="str">
        <f>MID(B7,1,6)</f>
        <v>plateE</v>
      </c>
      <c r="D7" t="str">
        <f>MID(B7,8,2)</f>
        <v>HF</v>
      </c>
      <c r="E7">
        <v>23</v>
      </c>
      <c r="F7">
        <v>6.8487504278724631E-2</v>
      </c>
      <c r="G7">
        <f>VLOOKUP(B7,[1]Sheet1!$B$2:$H$104,3,FALSE)</f>
        <v>2.1894258169999996</v>
      </c>
      <c r="H7">
        <f>F7/G7</f>
        <v>3.1281034391276039E-2</v>
      </c>
    </row>
    <row r="8" spans="1:8" ht="15.75" thickBot="1" x14ac:dyDescent="0.3">
      <c r="B8" s="19" t="s">
        <v>110</v>
      </c>
      <c r="C8" t="str">
        <f>MID(B8,1,6)</f>
        <v>plateE</v>
      </c>
      <c r="D8" t="str">
        <f>MID(B8,8,2)</f>
        <v>HF</v>
      </c>
      <c r="E8">
        <v>23</v>
      </c>
      <c r="F8">
        <v>0.78267760268157238</v>
      </c>
      <c r="G8">
        <f>VLOOKUP(B8,[1]Sheet1!$B$2:$H$104,3,FALSE)</f>
        <v>2.1822059589999996</v>
      </c>
      <c r="H8">
        <f>F8/G8</f>
        <v>0.35866348886712601</v>
      </c>
    </row>
    <row r="9" spans="1:8" ht="15.75" thickBot="1" x14ac:dyDescent="0.3">
      <c r="B9" s="10" t="s">
        <v>111</v>
      </c>
      <c r="C9" t="str">
        <f>MID(B9,1,6)</f>
        <v>plateE</v>
      </c>
      <c r="D9" t="str">
        <f>MID(B9,8,2)</f>
        <v>HF</v>
      </c>
      <c r="E9">
        <v>23</v>
      </c>
      <c r="F9">
        <v>3.902407189072497</v>
      </c>
      <c r="G9">
        <f>VLOOKUP(B9,[1]Sheet1!$B$2:$H$104,3,FALSE)</f>
        <v>4.1813084539999998</v>
      </c>
      <c r="H9">
        <f>F9/G9</f>
        <v>0.93329808886481569</v>
      </c>
    </row>
    <row r="10" spans="1:8" ht="15.75" thickBot="1" x14ac:dyDescent="0.3">
      <c r="B10" s="20" t="s">
        <v>112</v>
      </c>
      <c r="C10" t="str">
        <f>MID(B10,1,6)</f>
        <v>plateE</v>
      </c>
      <c r="D10" t="str">
        <f>MID(B10,8,2)</f>
        <v>HF</v>
      </c>
      <c r="E10">
        <v>23</v>
      </c>
      <c r="F10">
        <v>2.3300087144666057</v>
      </c>
      <c r="G10">
        <f>VLOOKUP(B10,[1]Sheet1!$B$2:$H$104,3,FALSE)</f>
        <v>2.272600492</v>
      </c>
      <c r="H10">
        <f>F10/G10</f>
        <v>1.0252610270343132</v>
      </c>
    </row>
    <row r="11" spans="1:8" ht="15.75" thickBot="1" x14ac:dyDescent="0.3">
      <c r="B11" s="10" t="s">
        <v>114</v>
      </c>
      <c r="C11" t="str">
        <f>MID(B11,1,6)</f>
        <v>plateE</v>
      </c>
      <c r="D11" t="str">
        <f>MID(B11,8,2)</f>
        <v>HF</v>
      </c>
      <c r="E11">
        <v>23</v>
      </c>
      <c r="F11">
        <v>1.662375154069109</v>
      </c>
      <c r="G11">
        <f>VLOOKUP(B11,[1]Sheet1!$B$2:$H$104,3,FALSE)</f>
        <v>2.2713641</v>
      </c>
      <c r="H11">
        <f>F11/G11</f>
        <v>0.73188404891541126</v>
      </c>
    </row>
    <row r="12" spans="1:8" ht="15.75" thickBot="1" x14ac:dyDescent="0.3">
      <c r="B12" s="20" t="s">
        <v>115</v>
      </c>
      <c r="C12" t="str">
        <f>MID(B12,1,6)</f>
        <v>plateE</v>
      </c>
      <c r="D12" t="str">
        <f>MID(B12,8,2)</f>
        <v>NF</v>
      </c>
      <c r="E12">
        <v>23</v>
      </c>
      <c r="F12">
        <v>1.5452495352240343</v>
      </c>
      <c r="G12">
        <f>VLOOKUP(B12,[1]Sheet1!$B$2:$H$104,3,FALSE)</f>
        <v>1.6031914669999998</v>
      </c>
      <c r="H12">
        <f>F12/G12</f>
        <v>0.96385838312600902</v>
      </c>
    </row>
    <row r="13" spans="1:8" ht="15.75" thickBot="1" x14ac:dyDescent="0.3">
      <c r="B13" s="18" t="s">
        <v>116</v>
      </c>
      <c r="C13" t="str">
        <f>MID(B13,1,6)</f>
        <v>plateE</v>
      </c>
      <c r="D13" t="str">
        <f>MID(B13,8,2)</f>
        <v>HF</v>
      </c>
      <c r="E13">
        <v>23</v>
      </c>
      <c r="F13">
        <v>1.4449252299322506</v>
      </c>
      <c r="G13">
        <f>VLOOKUP(B13,[1]Sheet1!$B$2:$H$104,3,FALSE)</f>
        <v>2.117649219</v>
      </c>
      <c r="H13">
        <f>F13/G13</f>
        <v>0.68232510699509319</v>
      </c>
    </row>
    <row r="14" spans="1:8" ht="15.75" thickBot="1" x14ac:dyDescent="0.3">
      <c r="B14" s="19" t="s">
        <v>117</v>
      </c>
      <c r="C14" t="str">
        <f>MID(B14,1,6)</f>
        <v>plateE</v>
      </c>
      <c r="D14" t="str">
        <f>MID(B14,8,2)</f>
        <v>HF</v>
      </c>
      <c r="E14">
        <v>23</v>
      </c>
      <c r="F14">
        <v>1.9536068840911922</v>
      </c>
      <c r="G14">
        <f>VLOOKUP(B14,[1]Sheet1!$B$2:$H$104,3,FALSE)</f>
        <v>1.2017046009999999</v>
      </c>
      <c r="H14">
        <f>F14/G14</f>
        <v>1.625696433603979</v>
      </c>
    </row>
    <row r="15" spans="1:8" ht="15.75" thickBot="1" x14ac:dyDescent="0.3">
      <c r="B15" s="20" t="s">
        <v>118</v>
      </c>
      <c r="C15" t="str">
        <f>MID(B15,1,6)</f>
        <v>plateE</v>
      </c>
      <c r="D15" t="str">
        <f>MID(B15,8,2)</f>
        <v>NF</v>
      </c>
      <c r="E15">
        <v>23</v>
      </c>
      <c r="F15">
        <v>1.370016429141613</v>
      </c>
      <c r="G15">
        <f>VLOOKUP(B15,[1]Sheet1!$B$2:$H$104,3,FALSE)</f>
        <v>1.8328701649999999</v>
      </c>
      <c r="H15">
        <f>F15/G15</f>
        <v>0.7474705275382193</v>
      </c>
    </row>
    <row r="16" spans="1:8" ht="15.75" thickBot="1" x14ac:dyDescent="0.3">
      <c r="B16" s="21" t="s">
        <v>119</v>
      </c>
      <c r="C16" t="str">
        <f>MID(B16,1,6)</f>
        <v>plateE</v>
      </c>
      <c r="D16" t="str">
        <f>MID(B16,8,2)</f>
        <v>HF</v>
      </c>
      <c r="E16">
        <v>23</v>
      </c>
      <c r="F16">
        <v>0.14770230054066324</v>
      </c>
      <c r="G16">
        <f>VLOOKUP(B16,[1]Sheet1!$B$2:$H$104,3,FALSE)</f>
        <v>1.1796885579999998</v>
      </c>
      <c r="H16">
        <f>F16/G16</f>
        <v>0.12520448684445346</v>
      </c>
    </row>
    <row r="17" spans="2:8" ht="15.75" thickBot="1" x14ac:dyDescent="0.3">
      <c r="B17" s="22" t="s">
        <v>120</v>
      </c>
      <c r="C17" t="str">
        <f>MID(B17,1,6)</f>
        <v>plateE</v>
      </c>
      <c r="D17" t="str">
        <f>MID(B17,8,2)</f>
        <v>HF</v>
      </c>
      <c r="E17">
        <v>23</v>
      </c>
      <c r="F17">
        <v>1.730802169387883</v>
      </c>
      <c r="G17">
        <f>VLOOKUP(B17,[1]Sheet1!$B$2:$H$104,3,FALSE)</f>
        <v>1.373480816</v>
      </c>
      <c r="H17">
        <f>F17/G17</f>
        <v>1.260157513104925</v>
      </c>
    </row>
    <row r="18" spans="2:8" ht="15.75" thickBot="1" x14ac:dyDescent="0.3">
      <c r="B18" s="3" t="s">
        <v>122</v>
      </c>
      <c r="C18" t="str">
        <f>MID(B18,1,6)</f>
        <v>plateE</v>
      </c>
      <c r="D18" t="str">
        <f>MID(B18,8,2)</f>
        <v>HF</v>
      </c>
      <c r="E18">
        <v>23</v>
      </c>
      <c r="F18">
        <v>2.6921457163892883</v>
      </c>
      <c r="G18" t="e">
        <f>VLOOKUP(B18,[1]Sheet1!$B$2:$H$104,3,FALSE)</f>
        <v>#N/A</v>
      </c>
      <c r="H18" t="e">
        <f>F18/G18</f>
        <v>#N/A</v>
      </c>
    </row>
    <row r="19" spans="2:8" ht="15.75" thickBot="1" x14ac:dyDescent="0.3">
      <c r="B19" s="1" t="s">
        <v>85</v>
      </c>
      <c r="C19" t="str">
        <f>MID(B19,1,6)</f>
        <v>plateF</v>
      </c>
      <c r="D19" t="str">
        <f>MID(B19,8,2)</f>
        <v>NF</v>
      </c>
      <c r="E19">
        <v>23</v>
      </c>
      <c r="F19">
        <v>0.41672064938945585</v>
      </c>
      <c r="G19">
        <f>VLOOKUP(B19,[1]Sheet1!$B$2:$H$104,3,FALSE)</f>
        <v>2.2045252680000003</v>
      </c>
      <c r="H19">
        <f>F19/G19</f>
        <v>0.18902965433801316</v>
      </c>
    </row>
    <row r="20" spans="2:8" ht="15.75" thickBot="1" x14ac:dyDescent="0.3">
      <c r="B20" s="2" t="s">
        <v>86</v>
      </c>
      <c r="C20" t="str">
        <f>MID(B20,1,6)</f>
        <v>plateF</v>
      </c>
      <c r="D20" t="str">
        <f>MID(B20,8,2)</f>
        <v>NF</v>
      </c>
      <c r="E20">
        <v>23</v>
      </c>
      <c r="F20">
        <v>0.46303352124730368</v>
      </c>
      <c r="G20">
        <f>VLOOKUP(B20,[1]Sheet1!$B$2:$H$104,3,FALSE)</f>
        <v>1.9712765149999998</v>
      </c>
      <c r="H20">
        <f>F20/G20</f>
        <v>0.23489019309262341</v>
      </c>
    </row>
    <row r="21" spans="2:8" ht="15.75" thickBot="1" x14ac:dyDescent="0.3">
      <c r="B21" s="1" t="s">
        <v>91</v>
      </c>
      <c r="C21" t="str">
        <f>MID(B21,1,6)</f>
        <v>plateF</v>
      </c>
      <c r="D21" t="str">
        <f>MID(B21,8,2)</f>
        <v>NF</v>
      </c>
      <c r="E21">
        <v>23</v>
      </c>
      <c r="F21">
        <v>-0.17658121370377355</v>
      </c>
      <c r="G21">
        <f>VLOOKUP(B21,[1]Sheet1!$B$2:$H$104,3,FALSE)</f>
        <v>1.971122222</v>
      </c>
      <c r="H21">
        <f>F21/G21</f>
        <v>-8.9584101753266906E-2</v>
      </c>
    </row>
    <row r="22" spans="2:8" ht="15.75" thickBot="1" x14ac:dyDescent="0.3">
      <c r="B22" s="1" t="s">
        <v>94</v>
      </c>
      <c r="C22" t="str">
        <f>MID(B22,1,6)</f>
        <v>plateF</v>
      </c>
      <c r="D22" t="str">
        <f>MID(B22,8,2)</f>
        <v>NF</v>
      </c>
      <c r="E22">
        <v>23</v>
      </c>
      <c r="F22">
        <v>0.37326583669440666</v>
      </c>
      <c r="G22">
        <f>VLOOKUP(B22,[1]Sheet1!$B$2:$H$104,3,FALSE)</f>
        <v>2.35078458</v>
      </c>
      <c r="H22">
        <f>F22/G22</f>
        <v>0.15878351418078754</v>
      </c>
    </row>
    <row r="23" spans="2:8" ht="15.75" thickBot="1" x14ac:dyDescent="0.3">
      <c r="B23" s="2" t="s">
        <v>97</v>
      </c>
      <c r="C23" t="str">
        <f>MID(B23,1,6)</f>
        <v>plateF</v>
      </c>
      <c r="D23" t="str">
        <f>MID(B23,8,2)</f>
        <v>NF</v>
      </c>
      <c r="E23">
        <v>23</v>
      </c>
      <c r="F23">
        <v>-0.40046807948002239</v>
      </c>
      <c r="G23">
        <f>VLOOKUP(B23,[1]Sheet1!$B$2:$H$104,3,FALSE)</f>
        <v>3.5821507189999999</v>
      </c>
      <c r="H23">
        <f>F23/G23</f>
        <v>-0.11179542986728873</v>
      </c>
    </row>
    <row r="24" spans="2:8" ht="15.75" thickBot="1" x14ac:dyDescent="0.3">
      <c r="B24" s="17" t="s">
        <v>100</v>
      </c>
      <c r="C24" t="str">
        <f>MID(B24,1,6)</f>
        <v>plateF</v>
      </c>
      <c r="D24" t="str">
        <f>MID(B24,8,2)</f>
        <v>NF</v>
      </c>
      <c r="E24">
        <v>23</v>
      </c>
      <c r="F24">
        <v>0.49642538191676144</v>
      </c>
      <c r="G24">
        <f>VLOOKUP(B24,[1]Sheet1!$B$2:$H$104,3,FALSE)</f>
        <v>1.6230633670000001</v>
      </c>
      <c r="H24">
        <f>F24/G24</f>
        <v>0.30585705525122692</v>
      </c>
    </row>
    <row r="25" spans="2:8" ht="15.75" thickBot="1" x14ac:dyDescent="0.3">
      <c r="B25" s="2" t="s">
        <v>6</v>
      </c>
      <c r="C25" t="str">
        <f>MID(B25,1,6)</f>
        <v>plateA</v>
      </c>
      <c r="D25" t="str">
        <f>MID(B25,8,2)</f>
        <v>HF</v>
      </c>
      <c r="E25" t="str">
        <f>MID(B25,11,3)</f>
        <v>27C</v>
      </c>
      <c r="F25">
        <v>0.63077758444223364</v>
      </c>
      <c r="G25">
        <f>VLOOKUP(B25,[1]Sheet1!$B$2:$H$104,3,FALSE)</f>
        <v>1.291518476</v>
      </c>
      <c r="H25">
        <f>F25/G25</f>
        <v>0.48839996962012772</v>
      </c>
    </row>
    <row r="26" spans="2:8" ht="15.75" thickBot="1" x14ac:dyDescent="0.3">
      <c r="B26" s="3" t="s">
        <v>7</v>
      </c>
      <c r="C26" t="str">
        <f>MID(B26,1,6)</f>
        <v>plateA</v>
      </c>
      <c r="D26" t="str">
        <f>MID(B26,8,2)</f>
        <v>HF</v>
      </c>
      <c r="E26" t="str">
        <f>MID(B26,11,3)</f>
        <v>27C</v>
      </c>
      <c r="F26">
        <v>1.4290058090560087</v>
      </c>
      <c r="G26">
        <f>VLOOKUP(B26,[1]Sheet1!$B$2:$H$104,3,FALSE)</f>
        <v>6.002185514999999</v>
      </c>
      <c r="H26">
        <f>F26/G26</f>
        <v>0.23808091327480552</v>
      </c>
    </row>
    <row r="27" spans="2:8" ht="15.75" thickBot="1" x14ac:dyDescent="0.3">
      <c r="B27" s="2" t="s">
        <v>10</v>
      </c>
      <c r="C27" t="str">
        <f>MID(B27,1,6)</f>
        <v>plateA</v>
      </c>
      <c r="D27" t="str">
        <f>MID(B27,8,2)</f>
        <v>HF</v>
      </c>
      <c r="E27" t="str">
        <f>MID(B27,11,3)</f>
        <v>27C</v>
      </c>
      <c r="F27">
        <v>0.29959901281209395</v>
      </c>
      <c r="G27">
        <f>VLOOKUP(B27,[1]Sheet1!$B$2:$H$104,3,FALSE)</f>
        <v>6.0211309210000001</v>
      </c>
      <c r="H27">
        <f>F27/G27</f>
        <v>4.9757930319564617E-2</v>
      </c>
    </row>
    <row r="28" spans="2:8" ht="15.75" thickBot="1" x14ac:dyDescent="0.3">
      <c r="B28" s="5" t="s">
        <v>11</v>
      </c>
      <c r="C28" t="str">
        <f>MID(B28,1,6)</f>
        <v>plateA</v>
      </c>
      <c r="D28" t="str">
        <f>MID(B28,8,2)</f>
        <v>HF</v>
      </c>
      <c r="E28" t="str">
        <f>MID(B28,11,3)</f>
        <v>27C</v>
      </c>
      <c r="F28">
        <v>0.17874978957943616</v>
      </c>
      <c r="G28">
        <f>VLOOKUP(B28,[1]Sheet1!$B$2:$H$104,3,FALSE)</f>
        <v>1.3248445020000001</v>
      </c>
      <c r="H28">
        <f>F28/G28</f>
        <v>0.13492133553001387</v>
      </c>
    </row>
    <row r="29" spans="2:8" ht="15.75" thickBot="1" x14ac:dyDescent="0.3">
      <c r="B29" s="2" t="s">
        <v>13</v>
      </c>
      <c r="C29" t="str">
        <f>MID(B29,1,6)</f>
        <v>plateA</v>
      </c>
      <c r="D29" t="str">
        <f>MID(B29,8,2)</f>
        <v>HF</v>
      </c>
      <c r="E29" t="str">
        <f>MID(B29,11,3)</f>
        <v>27C</v>
      </c>
      <c r="F29">
        <v>1.0423083366086798</v>
      </c>
      <c r="G29">
        <f>VLOOKUP(B29,[1]Sheet1!$B$2:$H$104,3,FALSE)</f>
        <v>3.8115197329999999</v>
      </c>
      <c r="H29">
        <f>F29/G29</f>
        <v>0.27346266309063338</v>
      </c>
    </row>
    <row r="30" spans="2:8" ht="15.75" thickBot="1" x14ac:dyDescent="0.3">
      <c r="B30" s="5" t="s">
        <v>14</v>
      </c>
      <c r="C30" t="str">
        <f>MID(B30,1,6)</f>
        <v>plateA</v>
      </c>
      <c r="D30" t="str">
        <f>MID(B30,8,2)</f>
        <v>HF</v>
      </c>
      <c r="E30" t="str">
        <f>MID(B30,11,3)</f>
        <v>27C</v>
      </c>
      <c r="F30">
        <v>0.19602199814846372</v>
      </c>
      <c r="G30">
        <f>VLOOKUP(B30,[1]Sheet1!$B$2:$H$104,3,FALSE)</f>
        <v>1.890415398</v>
      </c>
      <c r="H30">
        <f>F30/G30</f>
        <v>0.10369255262935798</v>
      </c>
    </row>
    <row r="31" spans="2:8" ht="15.75" thickBot="1" x14ac:dyDescent="0.3">
      <c r="B31" s="3" t="s">
        <v>17</v>
      </c>
      <c r="C31" t="str">
        <f>MID(B31,1,6)</f>
        <v>plateA</v>
      </c>
      <c r="D31" t="str">
        <f>MID(B31,8,2)</f>
        <v>HF</v>
      </c>
      <c r="E31" t="str">
        <f>MID(B31,11,3)</f>
        <v>27C</v>
      </c>
      <c r="F31">
        <v>0.31394790099975828</v>
      </c>
      <c r="G31">
        <f>VLOOKUP(B31,[1]Sheet1!$B$2:$H$104,3,FALSE)</f>
        <v>4.2466703569999993</v>
      </c>
      <c r="H31">
        <f>F31/G31</f>
        <v>7.3928012915403768E-2</v>
      </c>
    </row>
    <row r="32" spans="2:8" ht="15.75" thickBot="1" x14ac:dyDescent="0.3">
      <c r="B32" s="5" t="s">
        <v>18</v>
      </c>
      <c r="C32" t="str">
        <f>MID(B32,1,6)</f>
        <v>plateA</v>
      </c>
      <c r="D32" t="str">
        <f>MID(B32,8,2)</f>
        <v>HF</v>
      </c>
      <c r="E32" t="str">
        <f>MID(B32,11,3)</f>
        <v>27C</v>
      </c>
      <c r="F32">
        <v>0.22681863918519418</v>
      </c>
      <c r="G32">
        <f>VLOOKUP(B32,[1]Sheet1!$B$2:$H$104,3,FALSE)</f>
        <v>3.030447728</v>
      </c>
      <c r="H32">
        <f>F32/G32</f>
        <v>7.4846576989099675E-2</v>
      </c>
    </row>
    <row r="33" spans="2:8" ht="15.75" thickBot="1" x14ac:dyDescent="0.3">
      <c r="B33" s="3" t="s">
        <v>20</v>
      </c>
      <c r="C33" t="str">
        <f>MID(B33,1,6)</f>
        <v>plateA</v>
      </c>
      <c r="D33" t="str">
        <f>MID(B33,8,2)</f>
        <v>HF</v>
      </c>
      <c r="E33" t="str">
        <f>MID(B33,11,3)</f>
        <v>27C</v>
      </c>
      <c r="F33">
        <v>0.57558847894566245</v>
      </c>
      <c r="G33">
        <f>VLOOKUP(B33,[1]Sheet1!$B$2:$H$104,3,FALSE)</f>
        <v>4.2807057759999996</v>
      </c>
      <c r="H33">
        <f>F33/G33</f>
        <v>0.13446111670947564</v>
      </c>
    </row>
    <row r="34" spans="2:8" ht="15.75" thickBot="1" x14ac:dyDescent="0.3">
      <c r="B34" s="2" t="s">
        <v>6</v>
      </c>
      <c r="C34" t="str">
        <f>MID(B34,1,6)</f>
        <v>plateA</v>
      </c>
      <c r="D34" t="str">
        <f>MID(B34,8,2)</f>
        <v>HF</v>
      </c>
      <c r="E34" t="str">
        <f>MID(B34,11,3)</f>
        <v>27C</v>
      </c>
      <c r="F34">
        <v>0.17040588809428164</v>
      </c>
      <c r="G34">
        <f>VLOOKUP(B34,[1]Sheet1!$B$2:$H$104,3,FALSE)</f>
        <v>1.291518476</v>
      </c>
      <c r="H34">
        <f>F34/G34</f>
        <v>0.13194227667733469</v>
      </c>
    </row>
    <row r="35" spans="2:8" ht="15.75" thickBot="1" x14ac:dyDescent="0.3">
      <c r="B35" s="3" t="s">
        <v>22</v>
      </c>
      <c r="C35" t="str">
        <f>MID(B35,1,6)</f>
        <v>plateA</v>
      </c>
      <c r="D35" t="str">
        <f>MID(B35,8,2)</f>
        <v>HF</v>
      </c>
      <c r="E35" t="str">
        <f>MID(B35,11,3)</f>
        <v>27C</v>
      </c>
      <c r="F35">
        <v>0.5593889956471827</v>
      </c>
      <c r="G35">
        <f>VLOOKUP(B35,[1]Sheet1!$B$2:$H$104,3,FALSE)</f>
        <v>2.5139868339999998</v>
      </c>
      <c r="H35">
        <f>F35/G35</f>
        <v>0.222510710112646</v>
      </c>
    </row>
    <row r="36" spans="2:8" ht="15.75" thickBot="1" x14ac:dyDescent="0.3">
      <c r="B36" s="4" t="s">
        <v>27</v>
      </c>
      <c r="C36" t="str">
        <f>MID(B36,1,6)</f>
        <v>plateB</v>
      </c>
      <c r="D36" t="str">
        <f>MID(B36,8,2)</f>
        <v>HF</v>
      </c>
      <c r="E36" t="str">
        <f>MID(B36,11,3)</f>
        <v>27C</v>
      </c>
      <c r="F36">
        <v>2.8990199285011398E-2</v>
      </c>
      <c r="G36">
        <f>VLOOKUP(B36,[1]Sheet1!$B$2:$H$104,3,FALSE)</f>
        <v>1.4147407399999998</v>
      </c>
      <c r="H36">
        <f>F36/G36</f>
        <v>2.0491527857613968E-2</v>
      </c>
    </row>
    <row r="37" spans="2:8" ht="15.75" thickBot="1" x14ac:dyDescent="0.3">
      <c r="B37" s="7" t="s">
        <v>28</v>
      </c>
      <c r="C37" t="str">
        <f>MID(B37,1,6)</f>
        <v>plateB</v>
      </c>
      <c r="D37" t="str">
        <f>MID(B37,8,2)</f>
        <v>NF</v>
      </c>
      <c r="E37" t="str">
        <f>MID(B37,11,3)</f>
        <v>27C</v>
      </c>
      <c r="F37">
        <v>2.6459254121938343E-2</v>
      </c>
      <c r="G37">
        <f>VLOOKUP(B37,[1]Sheet1!$B$2:$H$104,3,FALSE)</f>
        <v>3.5357636970000001</v>
      </c>
      <c r="H37">
        <f>F37/G37</f>
        <v>7.4833208294966952E-3</v>
      </c>
    </row>
    <row r="38" spans="2:8" ht="15.75" thickBot="1" x14ac:dyDescent="0.3">
      <c r="B38" s="1" t="s">
        <v>29</v>
      </c>
      <c r="C38" t="str">
        <f>MID(B38,1,6)</f>
        <v>plateB</v>
      </c>
      <c r="D38" t="str">
        <f>MID(B38,8,2)</f>
        <v>NF</v>
      </c>
      <c r="E38" t="str">
        <f>MID(B38,11,3)</f>
        <v>27C</v>
      </c>
      <c r="F38">
        <v>0.47985661156020043</v>
      </c>
      <c r="G38">
        <f>VLOOKUP(B38,[1]Sheet1!$B$2:$H$104,3,FALSE)</f>
        <v>1.6029376149999999</v>
      </c>
      <c r="H38">
        <f>F38/G38</f>
        <v>0.29936075307597076</v>
      </c>
    </row>
    <row r="39" spans="2:8" ht="15.75" thickBot="1" x14ac:dyDescent="0.3">
      <c r="B39" s="2" t="s">
        <v>30</v>
      </c>
      <c r="C39" t="str">
        <f>MID(B39,1,6)</f>
        <v>plateB</v>
      </c>
      <c r="D39" t="str">
        <f>MID(B39,8,2)</f>
        <v>NF</v>
      </c>
      <c r="E39" t="str">
        <f>MID(B39,11,3)</f>
        <v>27C</v>
      </c>
      <c r="F39">
        <v>2.8411703902880081</v>
      </c>
      <c r="G39">
        <f>VLOOKUP(B39,[1]Sheet1!$B$2:$H$104,3,FALSE)</f>
        <v>5.307212625</v>
      </c>
      <c r="H39">
        <f>F39/G39</f>
        <v>0.53534135355807566</v>
      </c>
    </row>
    <row r="40" spans="2:8" ht="15.75" thickBot="1" x14ac:dyDescent="0.3">
      <c r="B40" s="4" t="s">
        <v>31</v>
      </c>
      <c r="C40" t="str">
        <f>MID(B40,1,6)</f>
        <v>plateB</v>
      </c>
      <c r="D40" t="str">
        <f>MID(B40,8,2)</f>
        <v>HF</v>
      </c>
      <c r="E40" t="str">
        <f>MID(B40,11,3)</f>
        <v>27C</v>
      </c>
      <c r="F40">
        <v>1.4853763805811919</v>
      </c>
      <c r="G40">
        <f>VLOOKUP(B40,[1]Sheet1!$B$2:$H$104,3,FALSE)</f>
        <v>2.8964760030000001</v>
      </c>
      <c r="H40">
        <f>F40/G40</f>
        <v>0.51282191844252334</v>
      </c>
    </row>
    <row r="41" spans="2:8" ht="15.75" thickBot="1" x14ac:dyDescent="0.3">
      <c r="B41" s="10" t="s">
        <v>32</v>
      </c>
      <c r="C41" t="str">
        <f>MID(B41,1,6)</f>
        <v>plateB</v>
      </c>
      <c r="D41" t="str">
        <f>MID(B41,8,2)</f>
        <v>NF</v>
      </c>
      <c r="E41" t="str">
        <f>MID(B41,11,3)</f>
        <v>27C</v>
      </c>
      <c r="F41">
        <v>-7.9466592166798043E-3</v>
      </c>
      <c r="G41">
        <f>VLOOKUP(B41,[1]Sheet1!$B$2:$H$104,3,FALSE)</f>
        <v>1.0082188949999999</v>
      </c>
      <c r="H41">
        <f>F41/G41</f>
        <v>-7.8818788817480012E-3</v>
      </c>
    </row>
    <row r="42" spans="2:8" ht="15.75" thickBot="1" x14ac:dyDescent="0.3">
      <c r="B42" s="1" t="s">
        <v>33</v>
      </c>
      <c r="C42" t="str">
        <f>MID(B42,1,6)</f>
        <v>plateB</v>
      </c>
      <c r="D42" t="str">
        <f>MID(B42,8,2)</f>
        <v>NF</v>
      </c>
      <c r="E42" t="str">
        <f>MID(B42,11,3)</f>
        <v>27C</v>
      </c>
      <c r="F42">
        <v>0.48627533967634462</v>
      </c>
      <c r="G42">
        <f>VLOOKUP(B42,[1]Sheet1!$B$2:$H$104,3,FALSE)</f>
        <v>1.9316708789999999</v>
      </c>
      <c r="H42">
        <f>F42/G42</f>
        <v>0.25173819461837249</v>
      </c>
    </row>
    <row r="43" spans="2:8" ht="15.75" thickBot="1" x14ac:dyDescent="0.3">
      <c r="B43" s="2" t="s">
        <v>34</v>
      </c>
      <c r="C43" t="str">
        <f>MID(B43,1,6)</f>
        <v>plateB</v>
      </c>
      <c r="D43" t="str">
        <f>MID(B43,8,2)</f>
        <v>NF</v>
      </c>
      <c r="E43" t="str">
        <f>MID(B43,11,3)</f>
        <v>27C</v>
      </c>
      <c r="F43">
        <v>0.22720328469840689</v>
      </c>
      <c r="G43">
        <f>VLOOKUP(B43,[1]Sheet1!$B$2:$H$104,3,FALSE)</f>
        <v>4.1901626939999996</v>
      </c>
      <c r="H43">
        <f>F43/G43</f>
        <v>5.4223022180915563E-2</v>
      </c>
    </row>
    <row r="44" spans="2:8" ht="15.75" thickBot="1" x14ac:dyDescent="0.3">
      <c r="B44" s="4" t="s">
        <v>35</v>
      </c>
      <c r="C44" t="str">
        <f>MID(B44,1,6)</f>
        <v>plateB</v>
      </c>
      <c r="D44" t="str">
        <f>MID(B44,8,2)</f>
        <v>HF</v>
      </c>
      <c r="E44" t="str">
        <f>MID(B44,11,3)</f>
        <v>27C</v>
      </c>
      <c r="F44">
        <v>1.1555014806401616</v>
      </c>
      <c r="G44">
        <f>VLOOKUP(B44,[1]Sheet1!$B$2:$H$104,3,FALSE)</f>
        <v>1.6764412989999999</v>
      </c>
      <c r="H44">
        <f>F44/G44</f>
        <v>0.68925853910269341</v>
      </c>
    </row>
    <row r="45" spans="2:8" ht="15.75" thickBot="1" x14ac:dyDescent="0.3">
      <c r="B45" s="10" t="s">
        <v>36</v>
      </c>
      <c r="C45" t="str">
        <f>MID(B45,1,6)</f>
        <v>plateB</v>
      </c>
      <c r="D45" t="str">
        <f>MID(B45,8,2)</f>
        <v>NF</v>
      </c>
      <c r="E45" t="str">
        <f>MID(B45,11,3)</f>
        <v>27C</v>
      </c>
      <c r="F45">
        <v>0.75991179333617664</v>
      </c>
      <c r="G45">
        <f>VLOOKUP(B45,[1]Sheet1!$B$2:$H$104,3,FALSE)</f>
        <v>2.9686761809999997</v>
      </c>
      <c r="H45">
        <f>F45/G45</f>
        <v>0.2559766532300603</v>
      </c>
    </row>
    <row r="46" spans="2:8" ht="15.75" thickBot="1" x14ac:dyDescent="0.3">
      <c r="B46" s="11" t="s">
        <v>37</v>
      </c>
      <c r="C46" t="str">
        <f>MID(B46,1,6)</f>
        <v>plateB</v>
      </c>
      <c r="D46" t="str">
        <f>MID(B46,8,2)</f>
        <v>NF</v>
      </c>
      <c r="E46" t="str">
        <f>MID(B46,11,3)</f>
        <v>27C</v>
      </c>
      <c r="F46">
        <v>1.0254526247182283</v>
      </c>
      <c r="G46">
        <f>VLOOKUP(B46,[1]Sheet1!$B$2:$H$104,3,FALSE)</f>
        <v>5.767974647</v>
      </c>
      <c r="H46">
        <f>F46/G46</f>
        <v>0.17778383010951337</v>
      </c>
    </row>
    <row r="47" spans="2:8" ht="15.75" thickBot="1" x14ac:dyDescent="0.3">
      <c r="B47" s="10" t="s">
        <v>38</v>
      </c>
      <c r="C47" t="str">
        <f>MID(B47,1,6)</f>
        <v>plateB</v>
      </c>
      <c r="D47" t="str">
        <f>MID(B47,8,2)</f>
        <v>NF</v>
      </c>
      <c r="E47" t="str">
        <f>MID(B47,11,3)</f>
        <v>27C</v>
      </c>
      <c r="F47">
        <v>1.95004470563787</v>
      </c>
      <c r="G47">
        <f>VLOOKUP(B47,[1]Sheet1!$B$2:$H$104,3,FALSE)</f>
        <v>4.5324852019999993</v>
      </c>
      <c r="H47">
        <f>F47/G47</f>
        <v>0.43023741252975201</v>
      </c>
    </row>
    <row r="48" spans="2:8" ht="15.75" thickBot="1" x14ac:dyDescent="0.3">
      <c r="B48" s="1" t="s">
        <v>39</v>
      </c>
      <c r="C48" t="str">
        <f>MID(B48,1,6)</f>
        <v>plateB</v>
      </c>
      <c r="D48" t="str">
        <f>MID(B48,8,2)</f>
        <v>NF</v>
      </c>
      <c r="E48" t="str">
        <f>MID(B48,11,3)</f>
        <v>27C</v>
      </c>
      <c r="F48">
        <v>0.53268068944957803</v>
      </c>
      <c r="G48">
        <f>VLOOKUP(B48,[1]Sheet1!$B$2:$H$104,3,FALSE)</f>
        <v>1.3721546249999999</v>
      </c>
      <c r="H48">
        <f>F48/G48</f>
        <v>0.38820748022445217</v>
      </c>
    </row>
    <row r="49" spans="2:8" ht="15.75" thickBot="1" x14ac:dyDescent="0.3">
      <c r="B49" s="7" t="s">
        <v>40</v>
      </c>
      <c r="C49" t="str">
        <f>MID(B49,1,6)</f>
        <v>plateB</v>
      </c>
      <c r="D49" t="str">
        <f>MID(B49,8,2)</f>
        <v>NF</v>
      </c>
      <c r="E49" t="str">
        <f>MID(B49,11,3)</f>
        <v>27C</v>
      </c>
      <c r="F49">
        <v>0.22679580046465883</v>
      </c>
      <c r="G49">
        <f>VLOOKUP(B49,[1]Sheet1!$B$2:$H$104,3,FALSE)</f>
        <v>2.5730113999999999</v>
      </c>
      <c r="H49">
        <f>F49/G49</f>
        <v>8.8144110230004749E-2</v>
      </c>
    </row>
    <row r="50" spans="2:8" ht="15.75" thickBot="1" x14ac:dyDescent="0.3">
      <c r="B50" s="10" t="s">
        <v>41</v>
      </c>
      <c r="C50" t="str">
        <f>MID(B50,1,6)</f>
        <v>plateB</v>
      </c>
      <c r="D50" t="str">
        <f>MID(B50,8,2)</f>
        <v>NF</v>
      </c>
      <c r="E50" t="str">
        <f>MID(B50,11,3)</f>
        <v>27C</v>
      </c>
      <c r="F50">
        <v>6.0362285109862385E-2</v>
      </c>
      <c r="G50">
        <f>VLOOKUP(B50,[1]Sheet1!$B$2:$H$104,3,FALSE)</f>
        <v>2.4155213469999999</v>
      </c>
      <c r="H50">
        <f>F50/G50</f>
        <v>2.4989340369452918E-2</v>
      </c>
    </row>
    <row r="51" spans="2:8" ht="15.75" thickBot="1" x14ac:dyDescent="0.3">
      <c r="B51" s="2" t="s">
        <v>42</v>
      </c>
      <c r="C51" t="str">
        <f>MID(B51,1,6)</f>
        <v>plateB</v>
      </c>
      <c r="D51" t="str">
        <f>MID(B51,8,2)</f>
        <v>NF</v>
      </c>
      <c r="E51" t="str">
        <f>MID(B51,11,3)</f>
        <v>27C</v>
      </c>
      <c r="F51">
        <v>4.8808040043725381E-2</v>
      </c>
      <c r="G51">
        <f>VLOOKUP(B51,[1]Sheet1!$B$2:$H$104,3,FALSE)</f>
        <v>1.1569122350000001</v>
      </c>
      <c r="H51">
        <f>F51/G51</f>
        <v>4.2188195929767636E-2</v>
      </c>
    </row>
    <row r="52" spans="2:8" ht="15.75" thickBot="1" x14ac:dyDescent="0.3">
      <c r="B52" s="11" t="s">
        <v>43</v>
      </c>
      <c r="C52" t="str">
        <f>MID(B52,1,6)</f>
        <v>plateB</v>
      </c>
      <c r="D52" t="str">
        <f>MID(B52,8,2)</f>
        <v>NF</v>
      </c>
      <c r="E52" t="str">
        <f>MID(B52,11,3)</f>
        <v>27C</v>
      </c>
      <c r="F52">
        <v>0.25185455507726018</v>
      </c>
      <c r="G52">
        <f>VLOOKUP(B52,[1]Sheet1!$B$2:$H$104,3,FALSE)</f>
        <v>4.7293110559999993</v>
      </c>
      <c r="H52">
        <f>F52/G52</f>
        <v>5.3253962806641027E-2</v>
      </c>
    </row>
    <row r="53" spans="2:8" ht="15.75" thickBot="1" x14ac:dyDescent="0.3">
      <c r="B53" s="7" t="s">
        <v>44</v>
      </c>
      <c r="C53" t="str">
        <f>MID(B53,1,6)</f>
        <v>plateB</v>
      </c>
      <c r="D53" t="str">
        <f>MID(B53,8,2)</f>
        <v>NF</v>
      </c>
      <c r="E53" t="str">
        <f>MID(B53,11,3)</f>
        <v>27C</v>
      </c>
      <c r="F53">
        <v>8.1755073687616114E-2</v>
      </c>
      <c r="G53">
        <f>VLOOKUP(B53,[1]Sheet1!$B$2:$H$104,3,FALSE)</f>
        <v>4.310256957</v>
      </c>
      <c r="H53">
        <f>F53/G53</f>
        <v>1.8967563767826687E-2</v>
      </c>
    </row>
    <row r="54" spans="2:8" ht="15.75" thickBot="1" x14ac:dyDescent="0.3">
      <c r="B54" s="2" t="s">
        <v>45</v>
      </c>
      <c r="C54" t="str">
        <f>MID(B54,1,6)</f>
        <v>plateB</v>
      </c>
      <c r="D54" t="str">
        <f>MID(B54,8,2)</f>
        <v>NF</v>
      </c>
      <c r="E54" t="str">
        <f>MID(B54,11,3)</f>
        <v>27C</v>
      </c>
      <c r="F54">
        <v>0.15532788881577395</v>
      </c>
      <c r="G54">
        <f>VLOOKUP(B54,[1]Sheet1!$B$2:$H$104,3,FALSE)</f>
        <v>2.1209055939999999</v>
      </c>
      <c r="H54">
        <f>F54/G54</f>
        <v>7.3236587830780159E-2</v>
      </c>
    </row>
    <row r="55" spans="2:8" ht="15.75" thickBot="1" x14ac:dyDescent="0.3">
      <c r="B55" s="11" t="s">
        <v>46</v>
      </c>
      <c r="C55" t="str">
        <f>MID(B55,1,6)</f>
        <v>plateB</v>
      </c>
      <c r="D55" t="str">
        <f>MID(B55,8,2)</f>
        <v>NF</v>
      </c>
      <c r="E55" t="str">
        <f>MID(B55,11,3)</f>
        <v>27C</v>
      </c>
      <c r="F55">
        <v>0.25093499358139515</v>
      </c>
      <c r="G55">
        <f>VLOOKUP(B55,[1]Sheet1!$B$2:$H$104,3,FALSE)</f>
        <v>2.5964979229999998</v>
      </c>
      <c r="H55">
        <f>F55/G55</f>
        <v>9.6643633472066975E-2</v>
      </c>
    </row>
    <row r="56" spans="2:8" ht="15.75" thickBot="1" x14ac:dyDescent="0.3">
      <c r="B56" s="7" t="s">
        <v>47</v>
      </c>
      <c r="C56" t="str">
        <f>MID(B56,1,6)</f>
        <v>plateC</v>
      </c>
      <c r="D56" t="str">
        <f>MID(B56,8,2)</f>
        <v>NF</v>
      </c>
      <c r="E56" t="str">
        <f>MID(B56,11,3)</f>
        <v>27C</v>
      </c>
      <c r="F56">
        <v>1.2467173857795E-3</v>
      </c>
      <c r="G56">
        <f>VLOOKUP(B56,[1]Sheet1!$B$2:$H$104,3,FALSE)</f>
        <v>1.5753899519999999</v>
      </c>
      <c r="H56">
        <f>F56/G56</f>
        <v>7.9137065981458037E-4</v>
      </c>
    </row>
    <row r="57" spans="2:8" ht="15.75" thickBot="1" x14ac:dyDescent="0.3">
      <c r="B57" s="7" t="s">
        <v>50</v>
      </c>
      <c r="C57" t="str">
        <f>MID(B57,1,6)</f>
        <v>plateC</v>
      </c>
      <c r="D57" t="str">
        <f>MID(B57,8,2)</f>
        <v>NF</v>
      </c>
      <c r="E57" t="str">
        <f>MID(B57,11,3)</f>
        <v>27C</v>
      </c>
      <c r="F57">
        <v>1.016311526235393</v>
      </c>
      <c r="G57">
        <f>VLOOKUP(B57,[1]Sheet1!$B$2:$H$104,3,FALSE)</f>
        <v>2.062329584</v>
      </c>
      <c r="H57">
        <f>F57/G57</f>
        <v>0.49279782151221518</v>
      </c>
    </row>
    <row r="58" spans="2:8" ht="15.75" thickBot="1" x14ac:dyDescent="0.3">
      <c r="B58" s="7" t="s">
        <v>57</v>
      </c>
      <c r="C58" t="str">
        <f>MID(B58,1,6)</f>
        <v>plateC</v>
      </c>
      <c r="D58" t="str">
        <f>MID(B58,8,2)</f>
        <v>NF</v>
      </c>
      <c r="E58" t="str">
        <f>MID(B58,11,3)</f>
        <v>27C</v>
      </c>
      <c r="F58">
        <v>-3.1371037616725314E-2</v>
      </c>
      <c r="G58">
        <f>VLOOKUP(B58,[1]Sheet1!$B$2:$H$104,3,FALSE)</f>
        <v>1.8180015079999998</v>
      </c>
      <c r="H58">
        <f>F58/G58</f>
        <v>-1.7255781955448916E-2</v>
      </c>
    </row>
    <row r="59" spans="2:8" ht="15.75" thickBot="1" x14ac:dyDescent="0.3">
      <c r="B59" s="7" t="s">
        <v>61</v>
      </c>
      <c r="C59" t="str">
        <f>MID(B59,1,6)</f>
        <v>plateC</v>
      </c>
      <c r="D59" t="str">
        <f>MID(B59,8,2)</f>
        <v>NF</v>
      </c>
      <c r="E59" t="str">
        <f>MID(B59,11,3)</f>
        <v>27C</v>
      </c>
      <c r="F59">
        <v>0.73704843919369178</v>
      </c>
      <c r="G59">
        <f>VLOOKUP(B59,[1]Sheet1!$B$2:$H$104,3,FALSE)</f>
        <v>2.3970189409999998</v>
      </c>
      <c r="H59">
        <f>F59/G59</f>
        <v>0.30748544643798537</v>
      </c>
    </row>
    <row r="60" spans="2:8" ht="15.75" thickBot="1" x14ac:dyDescent="0.3">
      <c r="B60" s="4" t="s">
        <v>24</v>
      </c>
      <c r="C60" t="str">
        <f>MID(B60,1,6)</f>
        <v>plateA</v>
      </c>
      <c r="D60" t="str">
        <f>MID(B60,8,2)</f>
        <v>HF</v>
      </c>
      <c r="E60" t="str">
        <f>MID(B60,11,3)</f>
        <v>32C</v>
      </c>
      <c r="F60">
        <v>0.11097646710332874</v>
      </c>
      <c r="G60">
        <f>VLOOKUP(B60,[1]Sheet1!$B$2:$H$104,3,FALSE)</f>
        <v>1.9004878589999998</v>
      </c>
      <c r="H60">
        <f>F60/G60</f>
        <v>5.8393673275935802E-2</v>
      </c>
    </row>
    <row r="61" spans="2:8" ht="15.75" thickBot="1" x14ac:dyDescent="0.3">
      <c r="B61" s="1" t="s">
        <v>5</v>
      </c>
      <c r="C61" t="str">
        <f>MID(B61,1,6)</f>
        <v>plateA</v>
      </c>
      <c r="D61" t="str">
        <f>MID(B61,8,2)</f>
        <v>NF</v>
      </c>
      <c r="E61" t="str">
        <f>MID(B61,11,3)</f>
        <v>32C</v>
      </c>
      <c r="F61">
        <v>0.13074861090839268</v>
      </c>
      <c r="G61">
        <f>VLOOKUP(B61,[1]Sheet1!$B$2:$H$104,3,FALSE)</f>
        <v>3.186575768</v>
      </c>
      <c r="H61">
        <f>F61/G61</f>
        <v>4.1031069218998933E-2</v>
      </c>
    </row>
    <row r="62" spans="2:8" ht="15.75" thickBot="1" x14ac:dyDescent="0.3">
      <c r="B62" s="4" t="s">
        <v>8</v>
      </c>
      <c r="C62" t="str">
        <f>MID(B62,1,6)</f>
        <v>plateA</v>
      </c>
      <c r="D62" t="str">
        <f>MID(B62,8,2)</f>
        <v>HF</v>
      </c>
      <c r="E62" t="str">
        <f>MID(B62,11,3)</f>
        <v>32C</v>
      </c>
      <c r="F62">
        <v>0.18425674004199949</v>
      </c>
      <c r="G62">
        <f>VLOOKUP(B62,[1]Sheet1!$B$2:$H$104,3,FALSE)</f>
        <v>1.9232644369999998</v>
      </c>
      <c r="H62">
        <f>F62/G62</f>
        <v>9.5804163222303423E-2</v>
      </c>
    </row>
    <row r="63" spans="2:8" ht="15.75" thickBot="1" x14ac:dyDescent="0.3">
      <c r="B63" s="1" t="s">
        <v>9</v>
      </c>
      <c r="C63" t="str">
        <f>MID(B63,1,6)</f>
        <v>plateA</v>
      </c>
      <c r="D63" t="str">
        <f>MID(B63,8,2)</f>
        <v>NF</v>
      </c>
      <c r="E63" t="str">
        <f>MID(B63,11,3)</f>
        <v>32C</v>
      </c>
      <c r="F63">
        <v>0.14042243689090045</v>
      </c>
      <c r="G63">
        <f>VLOOKUP(B63,[1]Sheet1!$B$2:$H$104,3,FALSE)</f>
        <v>2.2592995070000002</v>
      </c>
      <c r="H63">
        <f>F63/G63</f>
        <v>6.2153086147201303E-2</v>
      </c>
    </row>
    <row r="64" spans="2:8" ht="15.75" thickBot="1" x14ac:dyDescent="0.3">
      <c r="B64" s="1" t="s">
        <v>12</v>
      </c>
      <c r="C64" t="str">
        <f>MID(B64,1,6)</f>
        <v>plateA</v>
      </c>
      <c r="D64" t="str">
        <f>MID(B64,8,2)</f>
        <v>NF</v>
      </c>
      <c r="E64" t="str">
        <f>MID(B64,11,3)</f>
        <v>32C</v>
      </c>
      <c r="F64">
        <v>0.20714056766679051</v>
      </c>
      <c r="G64">
        <f>VLOOKUP(B64,[1]Sheet1!$B$2:$H$104,3,FALSE)</f>
        <v>5.5268385520000001</v>
      </c>
      <c r="H64">
        <f>F64/G64</f>
        <v>3.7479033577312013E-2</v>
      </c>
    </row>
    <row r="65" spans="2:8" ht="15.75" thickBot="1" x14ac:dyDescent="0.3">
      <c r="B65" s="7" t="s">
        <v>15</v>
      </c>
      <c r="C65" t="str">
        <f>MID(B65,1,6)</f>
        <v>plateA</v>
      </c>
      <c r="D65" t="str">
        <f>MID(B65,8,2)</f>
        <v>NF</v>
      </c>
      <c r="E65" t="str">
        <f>MID(B65,11,3)</f>
        <v>32C</v>
      </c>
      <c r="F65">
        <v>0.16341312086465309</v>
      </c>
      <c r="G65">
        <f>VLOOKUP(B65,[1]Sheet1!$B$2:$H$104,3,FALSE)</f>
        <v>4.0902844800000002</v>
      </c>
      <c r="H65">
        <f>F65/G65</f>
        <v>3.9951529450746925E-2</v>
      </c>
    </row>
    <row r="66" spans="2:8" ht="15.75" thickBot="1" x14ac:dyDescent="0.3">
      <c r="B66" s="1" t="s">
        <v>16</v>
      </c>
      <c r="C66" t="str">
        <f>MID(B66,1,6)</f>
        <v>plateA</v>
      </c>
      <c r="D66" t="str">
        <f>MID(B66,8,2)</f>
        <v>NF</v>
      </c>
      <c r="E66" t="str">
        <f>MID(B66,11,3)</f>
        <v>32C</v>
      </c>
      <c r="F66">
        <v>0.19845474299206109</v>
      </c>
      <c r="G66">
        <f>VLOOKUP(B66,[1]Sheet1!$B$2:$H$104,3,FALSE)</f>
        <v>4.1842746579999996</v>
      </c>
      <c r="H66">
        <f>F66/G66</f>
        <v>4.7428708488968678E-2</v>
      </c>
    </row>
    <row r="67" spans="2:8" ht="15.75" thickBot="1" x14ac:dyDescent="0.3">
      <c r="B67" s="7" t="s">
        <v>19</v>
      </c>
      <c r="C67" t="str">
        <f>MID(B67,1,6)</f>
        <v>plateA</v>
      </c>
      <c r="D67" t="str">
        <f>MID(B67,8,2)</f>
        <v>NF</v>
      </c>
      <c r="E67" t="str">
        <f>MID(B67,11,3)</f>
        <v>32C</v>
      </c>
      <c r="F67">
        <v>0.12131337493215077</v>
      </c>
      <c r="G67">
        <f>VLOOKUP(B67,[1]Sheet1!$B$2:$H$104,3,FALSE)</f>
        <v>2.3765800839999995</v>
      </c>
      <c r="H67">
        <f>F67/G67</f>
        <v>5.1045355361208522E-2</v>
      </c>
    </row>
    <row r="68" spans="2:8" ht="15.75" thickBot="1" x14ac:dyDescent="0.3">
      <c r="B68" s="7" t="s">
        <v>21</v>
      </c>
      <c r="C68" t="str">
        <f>MID(B68,1,6)</f>
        <v>plateA</v>
      </c>
      <c r="D68" t="str">
        <f>MID(B68,8,2)</f>
        <v>NF</v>
      </c>
      <c r="E68" t="str">
        <f>MID(B68,11,3)</f>
        <v>32C</v>
      </c>
      <c r="F68">
        <v>0.17741533410690702</v>
      </c>
      <c r="G68">
        <f>VLOOKUP(B68,[1]Sheet1!$B$2:$H$104,3,FALSE)</f>
        <v>3.6961740519999999</v>
      </c>
      <c r="H68">
        <f>F68/G68</f>
        <v>4.7999723933700465E-2</v>
      </c>
    </row>
    <row r="69" spans="2:8" ht="15.75" thickBot="1" x14ac:dyDescent="0.3">
      <c r="B69" s="1" t="s">
        <v>48</v>
      </c>
      <c r="C69" t="str">
        <f>MID(B69,1,6)</f>
        <v>plateC</v>
      </c>
      <c r="D69" t="str">
        <f>MID(B69,8,2)</f>
        <v>HF</v>
      </c>
      <c r="E69" t="str">
        <f>MID(B69,11,3)</f>
        <v>50m</v>
      </c>
      <c r="F69">
        <v>2.961250046888915E-2</v>
      </c>
      <c r="G69">
        <f>VLOOKUP(B69,[1]Sheet1!$B$2:$H$104,3,FALSE)</f>
        <v>5.1987121449999991</v>
      </c>
      <c r="H69">
        <f>F69/G69</f>
        <v>5.6961223554894778E-3</v>
      </c>
    </row>
    <row r="70" spans="2:8" ht="15.75" thickBot="1" x14ac:dyDescent="0.3">
      <c r="B70" s="12" t="s">
        <v>49</v>
      </c>
      <c r="C70" t="str">
        <f>MID(B70,1,6)</f>
        <v>plateC</v>
      </c>
      <c r="D70" t="str">
        <f>MID(B70,8,2)</f>
        <v>HF</v>
      </c>
      <c r="E70" t="str">
        <f>MID(B70,11,3)</f>
        <v>50m</v>
      </c>
      <c r="F70">
        <v>3.2946609109796783</v>
      </c>
      <c r="G70">
        <f>VLOOKUP(B70,[1]Sheet1!$B$2:$H$104,3,FALSE)</f>
        <v>3.2728172400000002</v>
      </c>
      <c r="H70">
        <f>F70/G70</f>
        <v>1.0066742715458434</v>
      </c>
    </row>
    <row r="71" spans="2:8" ht="15.75" thickBot="1" x14ac:dyDescent="0.3">
      <c r="B71" s="1" t="s">
        <v>51</v>
      </c>
      <c r="C71" t="str">
        <f>MID(B71,1,6)</f>
        <v>plateC</v>
      </c>
      <c r="D71" t="str">
        <f>MID(B71,8,2)</f>
        <v>HF</v>
      </c>
      <c r="E71" t="str">
        <f>MID(B71,11,3)</f>
        <v>50m</v>
      </c>
      <c r="F71">
        <v>6.9044792393898602E-3</v>
      </c>
      <c r="G71">
        <f>VLOOKUP(B71,[1]Sheet1!$B$2:$H$104,3,FALSE)</f>
        <v>2.011446968</v>
      </c>
      <c r="H71">
        <f>F71/G71</f>
        <v>3.4325932272800844E-3</v>
      </c>
    </row>
    <row r="72" spans="2:8" ht="15.75" thickBot="1" x14ac:dyDescent="0.3">
      <c r="B72" s="12" t="s">
        <v>52</v>
      </c>
      <c r="C72" t="str">
        <f>MID(B72,1,6)</f>
        <v>plateC</v>
      </c>
      <c r="D72" t="str">
        <f>MID(B72,8,2)</f>
        <v>HF</v>
      </c>
      <c r="E72" t="str">
        <f>MID(B72,11,3)</f>
        <v>50m</v>
      </c>
      <c r="F72">
        <v>5.2809975740311685</v>
      </c>
      <c r="G72">
        <f>VLOOKUP(B72,[1]Sheet1!$B$2:$H$104,3,FALSE)</f>
        <v>11.06119524</v>
      </c>
      <c r="H72">
        <f>F72/G72</f>
        <v>0.477434622520158</v>
      </c>
    </row>
    <row r="73" spans="2:8" ht="15.75" thickBot="1" x14ac:dyDescent="0.3">
      <c r="B73" s="10" t="s">
        <v>53</v>
      </c>
      <c r="C73" t="str">
        <f>MID(B73,1,6)</f>
        <v>plateC</v>
      </c>
      <c r="D73" t="str">
        <f>MID(B73,8,2)</f>
        <v>HF</v>
      </c>
      <c r="E73" t="str">
        <f>MID(B73,11,3)</f>
        <v>50m</v>
      </c>
      <c r="F73">
        <v>-0.12330301008121786</v>
      </c>
      <c r="G73">
        <f>VLOOKUP(B73,[1]Sheet1!$B$2:$H$104,3,FALSE)</f>
        <v>3.4706090029999999</v>
      </c>
      <c r="H73">
        <f>F73/G73</f>
        <v>-3.5527773360420185E-2</v>
      </c>
    </row>
    <row r="74" spans="2:8" ht="15.75" thickBot="1" x14ac:dyDescent="0.3">
      <c r="B74" s="1" t="s">
        <v>54</v>
      </c>
      <c r="C74" t="str">
        <f>MID(B74,1,6)</f>
        <v>plateC</v>
      </c>
      <c r="D74" t="str">
        <f>MID(B74,8,2)</f>
        <v>HF</v>
      </c>
      <c r="E74" t="str">
        <f>MID(B74,11,3)</f>
        <v>50m</v>
      </c>
      <c r="F74">
        <v>0.44603787873825951</v>
      </c>
      <c r="G74">
        <f>VLOOKUP(B74,[1]Sheet1!$B$2:$H$104,3,FALSE)</f>
        <v>2.4035149759999999</v>
      </c>
      <c r="H74">
        <f>F74/G74</f>
        <v>0.18557732454014864</v>
      </c>
    </row>
    <row r="75" spans="2:8" ht="15.75" thickBot="1" x14ac:dyDescent="0.3">
      <c r="B75" s="12" t="s">
        <v>55</v>
      </c>
      <c r="C75" t="str">
        <f>MID(B75,1,6)</f>
        <v>plateC</v>
      </c>
      <c r="D75" t="str">
        <f>MID(B75,8,2)</f>
        <v>HF</v>
      </c>
      <c r="E75" t="str">
        <f>MID(B75,11,3)</f>
        <v>50m</v>
      </c>
      <c r="F75">
        <v>2.5158958345422962</v>
      </c>
      <c r="G75">
        <f>VLOOKUP(B75,[1]Sheet1!$B$2:$H$104,3,FALSE)</f>
        <v>9.3673361899999996</v>
      </c>
      <c r="H75">
        <f>F75/G75</f>
        <v>0.26858178072311678</v>
      </c>
    </row>
    <row r="76" spans="2:8" ht="15.75" thickBot="1" x14ac:dyDescent="0.3">
      <c r="B76" s="4" t="s">
        <v>56</v>
      </c>
      <c r="C76" t="str">
        <f>MID(B76,1,6)</f>
        <v>plateC</v>
      </c>
      <c r="D76" t="str">
        <f>MID(B76,8,2)</f>
        <v>HF</v>
      </c>
      <c r="E76" t="str">
        <f>MID(B76,11,3)</f>
        <v>50m</v>
      </c>
      <c r="F76">
        <v>1.6005953095928331</v>
      </c>
      <c r="G76">
        <f>VLOOKUP(B76,[1]Sheet1!$B$2:$H$104,3,FALSE)</f>
        <v>2.1942331880000001</v>
      </c>
      <c r="H76">
        <f>F76/G76</f>
        <v>0.72945542814059061</v>
      </c>
    </row>
    <row r="77" spans="2:8" ht="15.75" thickBot="1" x14ac:dyDescent="0.3">
      <c r="B77" s="1" t="s">
        <v>58</v>
      </c>
      <c r="C77" t="str">
        <f>MID(B77,1,6)</f>
        <v>plateC</v>
      </c>
      <c r="D77" t="str">
        <f>MID(B77,8,2)</f>
        <v>HF</v>
      </c>
      <c r="E77" t="str">
        <f>MID(B77,11,3)</f>
        <v>50m</v>
      </c>
      <c r="F77">
        <v>2.3803320215831456</v>
      </c>
      <c r="G77">
        <f>VLOOKUP(B77,[1]Sheet1!$B$2:$H$104,3,FALSE)</f>
        <v>1.598580881</v>
      </c>
      <c r="H77">
        <f>F77/G77</f>
        <v>1.4890282061262472</v>
      </c>
    </row>
    <row r="78" spans="2:8" ht="15.75" thickBot="1" x14ac:dyDescent="0.3">
      <c r="B78" s="10" t="s">
        <v>59</v>
      </c>
      <c r="C78" t="str">
        <f>MID(B78,1,6)</f>
        <v>plateC</v>
      </c>
      <c r="D78" t="str">
        <f>MID(B78,8,2)</f>
        <v>HF</v>
      </c>
      <c r="E78" t="str">
        <f>MID(B78,11,3)</f>
        <v>50m</v>
      </c>
      <c r="F78">
        <v>2.5339695285336288</v>
      </c>
      <c r="G78">
        <f>VLOOKUP(B78,[1]Sheet1!$B$2:$H$104,3,FALSE)</f>
        <v>4.3946214579999996</v>
      </c>
      <c r="H78">
        <f>F78/G78</f>
        <v>0.57660700762309636</v>
      </c>
    </row>
    <row r="79" spans="2:8" ht="15.75" thickBot="1" x14ac:dyDescent="0.3">
      <c r="B79" s="4" t="s">
        <v>60</v>
      </c>
      <c r="C79" t="str">
        <f>MID(B79,1,6)</f>
        <v>plateC</v>
      </c>
      <c r="D79" t="str">
        <f>MID(B79,8,2)</f>
        <v>HF</v>
      </c>
      <c r="E79" t="str">
        <f>MID(B79,11,3)</f>
        <v>50m</v>
      </c>
      <c r="F79">
        <v>0.46032593039209979</v>
      </c>
      <c r="G79">
        <f>VLOOKUP(B79,[1]Sheet1!$B$2:$H$104,3,FALSE)</f>
        <v>6.2670766069999999</v>
      </c>
      <c r="H79">
        <f>F79/G79</f>
        <v>7.3451460586573897E-2</v>
      </c>
    </row>
    <row r="80" spans="2:8" ht="15.75" thickBot="1" x14ac:dyDescent="0.3">
      <c r="B80" s="12" t="s">
        <v>62</v>
      </c>
      <c r="C80" t="str">
        <f>MID(B80,1,6)</f>
        <v>plateC</v>
      </c>
      <c r="D80" t="str">
        <f>MID(B80,8,2)</f>
        <v>HF</v>
      </c>
      <c r="E80" t="str">
        <f>MID(B80,11,3)</f>
        <v>50m</v>
      </c>
      <c r="F80">
        <v>2.4177538580476554</v>
      </c>
      <c r="G80">
        <f>VLOOKUP(B80,[1]Sheet1!$B$2:$H$104,3,FALSE)</f>
        <v>3.9588936349999995</v>
      </c>
      <c r="H80">
        <f>F80/G80</f>
        <v>0.61071452808750593</v>
      </c>
    </row>
    <row r="81" spans="2:8" ht="15.75" thickBot="1" x14ac:dyDescent="0.3">
      <c r="B81" s="4" t="s">
        <v>63</v>
      </c>
      <c r="C81" t="str">
        <f>MID(B81,1,6)</f>
        <v>plateC</v>
      </c>
      <c r="D81" t="str">
        <f>MID(B81,8,2)</f>
        <v>HF</v>
      </c>
      <c r="E81" t="str">
        <f>MID(B81,11,3)</f>
        <v>50m</v>
      </c>
      <c r="F81">
        <v>0.69386311049792637</v>
      </c>
      <c r="G81">
        <f>VLOOKUP(B81,[1]Sheet1!$B$2:$H$104,3,FALSE)</f>
        <v>2.3117629690000001</v>
      </c>
      <c r="H81">
        <f>F81/G81</f>
        <v>0.30014457355810614</v>
      </c>
    </row>
    <row r="82" spans="2:8" ht="15.75" thickBot="1" x14ac:dyDescent="0.3">
      <c r="B82" s="10" t="s">
        <v>64</v>
      </c>
      <c r="C82" t="str">
        <f>MID(B82,1,6)</f>
        <v>plateC</v>
      </c>
      <c r="D82" t="str">
        <f>MID(B82,8,2)</f>
        <v>HF</v>
      </c>
      <c r="E82" t="str">
        <f>MID(B82,11,3)</f>
        <v>50m</v>
      </c>
      <c r="F82">
        <v>0.39637412600908617</v>
      </c>
      <c r="G82">
        <f>VLOOKUP(B82,[1]Sheet1!$B$2:$H$104,3,FALSE)</f>
        <v>1.533710256</v>
      </c>
      <c r="H82">
        <f>F82/G82</f>
        <v>0.2584413349643051</v>
      </c>
    </row>
    <row r="83" spans="2:8" ht="15.75" thickBot="1" x14ac:dyDescent="0.3">
      <c r="B83" s="4" t="s">
        <v>65</v>
      </c>
      <c r="C83" t="str">
        <f>MID(B83,1,6)</f>
        <v>plateD</v>
      </c>
      <c r="D83" t="str">
        <f>MID(B83,8,2)</f>
        <v>NF</v>
      </c>
      <c r="E83" t="str">
        <f>MID(B83,11,3)</f>
        <v>50m</v>
      </c>
      <c r="F83">
        <v>-0.10272112390552118</v>
      </c>
      <c r="G83">
        <f>VLOOKUP(B83,[1]Sheet1!$B$2:$H$104,3,FALSE)</f>
        <v>1.6389981299999998</v>
      </c>
      <c r="H83">
        <f>F83/G83</f>
        <v>-6.2673118428464097E-2</v>
      </c>
    </row>
    <row r="84" spans="2:8" ht="15.75" thickBot="1" x14ac:dyDescent="0.3">
      <c r="B84" s="7" t="s">
        <v>66</v>
      </c>
      <c r="C84" t="str">
        <f>MID(B84,1,6)</f>
        <v>plateD</v>
      </c>
      <c r="D84" t="str">
        <f>MID(B84,8,2)</f>
        <v>NF</v>
      </c>
      <c r="E84" t="str">
        <f>MID(B84,11,3)</f>
        <v>50m</v>
      </c>
      <c r="F84">
        <v>2.8776735160525861E-2</v>
      </c>
      <c r="G84">
        <f>VLOOKUP(B84,[1]Sheet1!$B$2:$H$104,3,FALSE)</f>
        <v>1.6835782229999998</v>
      </c>
      <c r="H84">
        <f>F84/G84</f>
        <v>1.7092603579326449E-2</v>
      </c>
    </row>
    <row r="85" spans="2:8" ht="15.75" thickBot="1" x14ac:dyDescent="0.3">
      <c r="B85" s="4" t="s">
        <v>69</v>
      </c>
      <c r="C85" t="str">
        <f>MID(B85,1,6)</f>
        <v>plateD</v>
      </c>
      <c r="D85" t="str">
        <f>MID(B85,8,2)</f>
        <v>NF</v>
      </c>
      <c r="E85" t="str">
        <f>MID(B85,11,3)</f>
        <v>50m</v>
      </c>
      <c r="F85">
        <v>1.628209504544073</v>
      </c>
      <c r="G85">
        <f>VLOOKUP(B85,[1]Sheet1!$B$2:$H$104,3,FALSE)</f>
        <v>1.1912765089999999</v>
      </c>
      <c r="H85">
        <f>F85/G85</f>
        <v>1.3667771438814404</v>
      </c>
    </row>
    <row r="86" spans="2:8" ht="15.75" thickBot="1" x14ac:dyDescent="0.3">
      <c r="B86" s="7" t="s">
        <v>70</v>
      </c>
      <c r="C86" t="str">
        <f>MID(B86,1,6)</f>
        <v>plateD</v>
      </c>
      <c r="D86" t="str">
        <f>MID(B86,8,2)</f>
        <v>NF</v>
      </c>
      <c r="E86" t="str">
        <f>MID(B86,11,3)</f>
        <v>50m</v>
      </c>
      <c r="F86">
        <v>0.14069647825090964</v>
      </c>
      <c r="G86">
        <f>VLOOKUP(B86,[1]Sheet1!$B$2:$H$104,3,FALSE)</f>
        <v>8.4945216319999997</v>
      </c>
      <c r="H86">
        <f>F86/G86</f>
        <v>1.6563202066716409E-2</v>
      </c>
    </row>
    <row r="87" spans="2:8" ht="15.75" thickBot="1" x14ac:dyDescent="0.3">
      <c r="B87" s="4" t="s">
        <v>72</v>
      </c>
      <c r="C87" t="str">
        <f>MID(B87,1,6)</f>
        <v>plateD</v>
      </c>
      <c r="D87" t="str">
        <f>MID(B87,8,2)</f>
        <v>NF</v>
      </c>
      <c r="E87" t="str">
        <f>MID(B87,11,3)</f>
        <v>50m</v>
      </c>
      <c r="F87">
        <v>2.1518093689943765</v>
      </c>
      <c r="G87">
        <f>VLOOKUP(B87,[1]Sheet1!$B$2:$H$104,3,FALSE)</f>
        <v>1.7201244299999998</v>
      </c>
      <c r="H87">
        <f>F87/G87</f>
        <v>1.2509614603836403</v>
      </c>
    </row>
    <row r="88" spans="2:8" ht="15.75" thickBot="1" x14ac:dyDescent="0.3">
      <c r="B88" s="7" t="s">
        <v>73</v>
      </c>
      <c r="C88" t="str">
        <f>MID(B88,1,6)</f>
        <v>plateD</v>
      </c>
      <c r="D88" t="str">
        <f>MID(B88,8,2)</f>
        <v>NF</v>
      </c>
      <c r="E88" t="str">
        <f>MID(B88,11,3)</f>
        <v>50m</v>
      </c>
      <c r="F88">
        <v>5.2767000299784996</v>
      </c>
      <c r="G88">
        <f>VLOOKUP(B88,[1]Sheet1!$B$2:$H$104,3,FALSE)</f>
        <v>5.5108795539999988</v>
      </c>
      <c r="H88">
        <f>F88/G88</f>
        <v>0.95750596221042006</v>
      </c>
    </row>
    <row r="89" spans="2:8" ht="15.75" thickBot="1" x14ac:dyDescent="0.3">
      <c r="B89" s="4" t="s">
        <v>75</v>
      </c>
      <c r="C89" t="str">
        <f>MID(B89,1,6)</f>
        <v>plateD</v>
      </c>
      <c r="D89" t="str">
        <f>MID(B89,8,2)</f>
        <v>NF</v>
      </c>
      <c r="E89" t="str">
        <f>MID(B89,11,3)</f>
        <v>50m</v>
      </c>
      <c r="F89">
        <v>2.0414945889812088</v>
      </c>
      <c r="G89">
        <f>VLOOKUP(B89,[1]Sheet1!$B$2:$H$104,3,FALSE)</f>
        <v>3.1225432009999996</v>
      </c>
      <c r="H89">
        <f>F89/G89</f>
        <v>0.6537922640517565</v>
      </c>
    </row>
    <row r="90" spans="2:8" ht="15.75" thickBot="1" x14ac:dyDescent="0.3">
      <c r="B90" s="7" t="s">
        <v>81</v>
      </c>
      <c r="C90" t="str">
        <f>MID(B90,1,6)</f>
        <v>plateD</v>
      </c>
      <c r="D90" t="str">
        <f>MID(B90,8,2)</f>
        <v>NF</v>
      </c>
      <c r="E90" t="str">
        <f>MID(B90,11,3)</f>
        <v>50m</v>
      </c>
      <c r="F90">
        <v>1.0426083399141459</v>
      </c>
      <c r="G90">
        <f>VLOOKUP(B90,[1]Sheet1!$B$2:$H$104,3,FALSE)</f>
        <v>4.0028284659999995</v>
      </c>
      <c r="H90">
        <f>F90/G90</f>
        <v>0.2604679038260207</v>
      </c>
    </row>
    <row r="91" spans="2:8" ht="15.75" thickBot="1" x14ac:dyDescent="0.3">
      <c r="B91" s="3" t="s">
        <v>67</v>
      </c>
      <c r="C91" t="str">
        <f>MID(B91,1,6)</f>
        <v>plateD</v>
      </c>
      <c r="D91" t="str">
        <f>MID(B91,8,2)</f>
        <v>HF</v>
      </c>
      <c r="E91" t="str">
        <f>MID(B91,11,3)</f>
        <v>DAR</v>
      </c>
      <c r="F91">
        <v>0.23487454115035741</v>
      </c>
      <c r="G91">
        <f>VLOOKUP(B91,[1]Sheet1!$B$2:$H$104,3,FALSE)</f>
        <v>2.2757605970000001</v>
      </c>
      <c r="H91">
        <f>F91/G91</f>
        <v>0.10320705150619909</v>
      </c>
    </row>
    <row r="92" spans="2:8" ht="15.75" thickBot="1" x14ac:dyDescent="0.3">
      <c r="B92" s="10" t="s">
        <v>68</v>
      </c>
      <c r="C92" t="str">
        <f>MID(B92,1,6)</f>
        <v>plateD</v>
      </c>
      <c r="D92" t="str">
        <f>MID(B92,8,2)</f>
        <v>HF</v>
      </c>
      <c r="E92" t="str">
        <f>MID(B92,11,3)</f>
        <v>DAR</v>
      </c>
      <c r="F92">
        <v>3.256463818350543</v>
      </c>
      <c r="G92">
        <f>VLOOKUP(B92,[1]Sheet1!$B$2:$H$104,3,FALSE)</f>
        <v>6.5452771219999999</v>
      </c>
      <c r="H92">
        <f>F92/G92</f>
        <v>0.497528791776426</v>
      </c>
    </row>
    <row r="93" spans="2:8" ht="15.75" thickBot="1" x14ac:dyDescent="0.3">
      <c r="B93" s="2" t="s">
        <v>71</v>
      </c>
      <c r="C93" t="str">
        <f>MID(B93,1,6)</f>
        <v>plateD</v>
      </c>
      <c r="D93" t="str">
        <f>MID(B93,8,2)</f>
        <v>HF</v>
      </c>
      <c r="E93" t="str">
        <f>MID(B93,11,3)</f>
        <v>DAR</v>
      </c>
      <c r="F93">
        <v>1.2837215001440823</v>
      </c>
      <c r="G93">
        <f>VLOOKUP(B93,[1]Sheet1!$B$2:$H$104,3,FALSE)</f>
        <v>1.8503585309999999</v>
      </c>
      <c r="H93">
        <f>F93/G93</f>
        <v>0.69376906077240785</v>
      </c>
    </row>
    <row r="94" spans="2:8" ht="15.75" thickBot="1" x14ac:dyDescent="0.3">
      <c r="B94" s="10" t="s">
        <v>74</v>
      </c>
      <c r="C94" t="str">
        <f>MID(B94,1,6)</f>
        <v>plateD</v>
      </c>
      <c r="D94" t="str">
        <f>MID(B94,8,2)</f>
        <v>HF</v>
      </c>
      <c r="E94" t="str">
        <f>MID(B94,11,3)</f>
        <v>DAR</v>
      </c>
      <c r="F94">
        <v>2.5650615751720647</v>
      </c>
      <c r="G94">
        <f>VLOOKUP(B94,[1]Sheet1!$B$2:$H$104,3,FALSE)</f>
        <v>6.713414145999999</v>
      </c>
      <c r="H94">
        <f>F94/G94</f>
        <v>0.38208004442871818</v>
      </c>
    </row>
    <row r="95" spans="2:8" ht="15.75" thickBot="1" x14ac:dyDescent="0.3">
      <c r="B95" s="2" t="s">
        <v>76</v>
      </c>
      <c r="C95" t="str">
        <f>MID(B95,1,6)</f>
        <v>plateD</v>
      </c>
      <c r="D95" t="str">
        <f>MID(B95,8,2)</f>
        <v>HF</v>
      </c>
      <c r="E95" t="str">
        <f>MID(B95,11,3)</f>
        <v>DAR</v>
      </c>
      <c r="F95">
        <v>2.1850767305300898</v>
      </c>
      <c r="G95">
        <f>VLOOKUP(B95,[1]Sheet1!$B$2:$H$104,3,FALSE)</f>
        <v>1.8286297919999999</v>
      </c>
      <c r="H95">
        <f>F95/G95</f>
        <v>1.1949256979676781</v>
      </c>
    </row>
    <row r="96" spans="2:8" ht="15.75" thickBot="1" x14ac:dyDescent="0.3">
      <c r="B96" s="13" t="s">
        <v>77</v>
      </c>
      <c r="C96" t="str">
        <f>MID(B96,1,6)</f>
        <v>plateD</v>
      </c>
      <c r="D96" t="str">
        <f>MID(B96,8,2)</f>
        <v>NF</v>
      </c>
      <c r="E96" t="str">
        <f>MID(B96,11,3)</f>
        <v>DAR</v>
      </c>
      <c r="F96">
        <v>0.30276936446252689</v>
      </c>
      <c r="G96">
        <f>VLOOKUP(B96,[1]Sheet1!$B$2:$H$104,3,FALSE)</f>
        <v>3.422052903</v>
      </c>
      <c r="H96">
        <f>F96/G96</f>
        <v>8.8475945008652274E-2</v>
      </c>
    </row>
    <row r="97" spans="2:8" ht="15.75" thickBot="1" x14ac:dyDescent="0.3">
      <c r="B97" s="3" t="s">
        <v>78</v>
      </c>
      <c r="C97" t="str">
        <f>MID(B97,1,6)</f>
        <v>plateD</v>
      </c>
      <c r="D97" t="str">
        <f>MID(B97,8,2)</f>
        <v>HF</v>
      </c>
      <c r="E97" t="str">
        <f>MID(B97,11,3)</f>
        <v>DAR</v>
      </c>
      <c r="F97">
        <v>0.92912425872694937</v>
      </c>
      <c r="G97">
        <f>VLOOKUP(B97,[1]Sheet1!$B$2:$H$104,3,FALSE)</f>
        <v>2.3558336919999996</v>
      </c>
      <c r="H97">
        <f>F97/G97</f>
        <v>0.39439297514170601</v>
      </c>
    </row>
    <row r="98" spans="2:8" ht="15.75" thickBot="1" x14ac:dyDescent="0.3">
      <c r="B98" s="2" t="s">
        <v>79</v>
      </c>
      <c r="C98" t="str">
        <f>MID(B98,1,6)</f>
        <v>plateD</v>
      </c>
      <c r="D98" t="str">
        <f>MID(B98,8,2)</f>
        <v>HF</v>
      </c>
      <c r="E98" t="str">
        <f>MID(B98,11,3)</f>
        <v>DAR</v>
      </c>
      <c r="F98">
        <v>3.3659411511691908</v>
      </c>
      <c r="G98">
        <f>VLOOKUP(B98,[1]Sheet1!$B$2:$H$104,3,FALSE)</f>
        <v>3.3280830240000001</v>
      </c>
      <c r="H98">
        <f>F98/G98</f>
        <v>1.0113753553911313</v>
      </c>
    </row>
    <row r="99" spans="2:8" ht="15.75" thickBot="1" x14ac:dyDescent="0.3">
      <c r="B99" s="13" t="s">
        <v>80</v>
      </c>
      <c r="C99" t="str">
        <f>MID(B99,1,6)</f>
        <v>plateD</v>
      </c>
      <c r="D99" t="str">
        <f>MID(B99,8,2)</f>
        <v>NF</v>
      </c>
      <c r="E99" t="str">
        <f>MID(B99,11,3)</f>
        <v>DAR</v>
      </c>
      <c r="F99">
        <v>1.4154491491601715</v>
      </c>
      <c r="G99">
        <f>VLOOKUP(B99,[1]Sheet1!$B$2:$H$104,3,FALSE)</f>
        <v>5.1971376339999997</v>
      </c>
      <c r="H99">
        <f>F99/G99</f>
        <v>0.27235167679612998</v>
      </c>
    </row>
    <row r="100" spans="2:8" ht="15.75" thickBot="1" x14ac:dyDescent="0.3">
      <c r="B100" s="14" t="s">
        <v>82</v>
      </c>
      <c r="C100" t="str">
        <f>MID(B100,1,6)</f>
        <v>plateD</v>
      </c>
      <c r="D100" t="str">
        <f>MID(B100,8,2)</f>
        <v>HF</v>
      </c>
      <c r="E100" t="str">
        <f>MID(B100,11,3)</f>
        <v>DAR</v>
      </c>
      <c r="F100">
        <v>1.9872906228963794</v>
      </c>
      <c r="G100">
        <f>VLOOKUP(B100,[1]Sheet1!$B$2:$H$104,3,FALSE)</f>
        <v>6.4668855360000004</v>
      </c>
      <c r="H100">
        <f>F100/G100</f>
        <v>0.30730258202862665</v>
      </c>
    </row>
    <row r="101" spans="2:8" ht="15.75" thickBot="1" x14ac:dyDescent="0.3">
      <c r="B101" s="15" t="s">
        <v>83</v>
      </c>
      <c r="C101" t="str">
        <f>MID(B101,1,6)</f>
        <v>plateD</v>
      </c>
      <c r="D101" t="str">
        <f>MID(B101,8,2)</f>
        <v>HF</v>
      </c>
      <c r="E101" t="str">
        <f>MID(B101,11,3)</f>
        <v>DAR</v>
      </c>
      <c r="F101">
        <v>1.8708805072541708</v>
      </c>
      <c r="G101">
        <f>VLOOKUP(B101,[1]Sheet1!$B$2:$H$104,3,FALSE)</f>
        <v>1.4421998139999999</v>
      </c>
      <c r="H101">
        <f>F101/G101</f>
        <v>1.2972408463049288</v>
      </c>
    </row>
    <row r="102" spans="2:8" ht="15.75" thickBot="1" x14ac:dyDescent="0.3">
      <c r="B102" s="16" t="s">
        <v>84</v>
      </c>
      <c r="C102" t="str">
        <f>MID(B102,1,6)</f>
        <v>plateD</v>
      </c>
      <c r="D102" t="str">
        <f>MID(B102,8,2)</f>
        <v>NF</v>
      </c>
      <c r="E102" t="str">
        <f>MID(B102,11,3)</f>
        <v>DAR</v>
      </c>
      <c r="F102">
        <v>0.96071874773488708</v>
      </c>
      <c r="G102">
        <f>VLOOKUP(B102,[1]Sheet1!$B$2:$H$104,3,FALSE)</f>
        <v>4.5680363770000003</v>
      </c>
      <c r="H102">
        <f>F102/G102</f>
        <v>0.21031328747119718</v>
      </c>
    </row>
    <row r="103" spans="2:8" ht="15.75" thickBot="1" x14ac:dyDescent="0.3">
      <c r="B103" s="5" t="s">
        <v>103</v>
      </c>
      <c r="C103" t="str">
        <f>MID(B103,1,6)</f>
        <v>plateE</v>
      </c>
      <c r="D103" t="str">
        <f>MID(B103,8,2)</f>
        <v>NF</v>
      </c>
      <c r="E103" t="str">
        <f>MID(B103,11,3)</f>
        <v>DAR</v>
      </c>
      <c r="F103">
        <v>1.5567636957031143</v>
      </c>
      <c r="G103">
        <f>VLOOKUP(B103,[1]Sheet1!$B$2:$H$104,3,FALSE)</f>
        <v>2.0217623140000001</v>
      </c>
      <c r="H103">
        <f>F103/G103</f>
        <v>0.77000332082711598</v>
      </c>
    </row>
    <row r="104" spans="2:8" ht="15.75" thickBot="1" x14ac:dyDescent="0.3">
      <c r="B104" s="5" t="s">
        <v>106</v>
      </c>
      <c r="C104" t="str">
        <f>MID(B104,1,6)</f>
        <v>plateE</v>
      </c>
      <c r="D104" t="str">
        <f>MID(B104,8,2)</f>
        <v>NF</v>
      </c>
      <c r="E104" t="str">
        <f>MID(B104,11,3)</f>
        <v>DAR</v>
      </c>
      <c r="F104">
        <v>1.3573597946382023</v>
      </c>
      <c r="G104">
        <f>VLOOKUP(B104,[1]Sheet1!$B$2:$H$104,3,FALSE)</f>
        <v>3.175212916</v>
      </c>
      <c r="H104">
        <f>F104/G104</f>
        <v>0.42748622865522584</v>
      </c>
    </row>
    <row r="105" spans="2:8" ht="15.75" thickBot="1" x14ac:dyDescent="0.3">
      <c r="B105" s="5" t="s">
        <v>113</v>
      </c>
      <c r="C105" t="str">
        <f>MID(B105,1,6)</f>
        <v>plateE</v>
      </c>
      <c r="D105" t="str">
        <f>MID(B105,8,2)</f>
        <v>NF</v>
      </c>
      <c r="E105" t="str">
        <f>MID(B105,11,3)</f>
        <v>DAR</v>
      </c>
      <c r="F105">
        <v>1.0760931596644541</v>
      </c>
      <c r="G105">
        <f>VLOOKUP(B105,[1]Sheet1!$B$2:$H$104,3,FALSE)</f>
        <v>1.2678751019999999</v>
      </c>
      <c r="H105">
        <f>F105/G105</f>
        <v>0.84873751205223535</v>
      </c>
    </row>
  </sheetData>
  <autoFilter ref="A1:H1" xr:uid="{00000000-0001-0000-0000-000000000000}">
    <sortState xmlns:xlrd2="http://schemas.microsoft.com/office/spreadsheetml/2017/richdata2" ref="A2:H105">
      <sortCondition ref="E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0237E-C5AB-4924-9E18-F1D9C7A3B5E7}">
  <sheetPr codeName="Sheet2"/>
  <dimension ref="A1:H48"/>
  <sheetViews>
    <sheetView workbookViewId="0">
      <selection activeCell="D16" sqref="D16"/>
    </sheetView>
  </sheetViews>
  <sheetFormatPr defaultRowHeight="15" x14ac:dyDescent="0.25"/>
  <cols>
    <col min="2" max="2" width="24.85546875" customWidth="1"/>
    <col min="4" max="4" width="13.85546875" customWidth="1"/>
    <col min="5" max="5" width="11.85546875" customWidth="1"/>
    <col min="6" max="6" width="13.140625" customWidth="1"/>
  </cols>
  <sheetData>
    <row r="1" spans="1:8" s="8" customFormat="1" ht="45.75" thickBot="1" x14ac:dyDescent="0.3">
      <c r="A1" s="9" t="s">
        <v>0</v>
      </c>
      <c r="B1" s="9" t="s">
        <v>1</v>
      </c>
      <c r="C1" s="9" t="s">
        <v>2</v>
      </c>
      <c r="D1" s="9" t="s">
        <v>4</v>
      </c>
      <c r="E1" s="9" t="s">
        <v>3</v>
      </c>
      <c r="F1" s="9" t="s">
        <v>23</v>
      </c>
      <c r="G1" s="9" t="s">
        <v>25</v>
      </c>
      <c r="H1" s="9" t="s">
        <v>26</v>
      </c>
    </row>
    <row r="2" spans="1:8" ht="15.75" thickBot="1" x14ac:dyDescent="0.3">
      <c r="B2" s="6" t="s">
        <v>87</v>
      </c>
      <c r="C2" t="str">
        <f t="shared" ref="C2:C48" si="0">MID(B2,1,6)</f>
        <v>planul</v>
      </c>
      <c r="D2" t="str">
        <f>MID(B2,9,2)</f>
        <v>HF</v>
      </c>
      <c r="F2">
        <v>1.685622930828818</v>
      </c>
    </row>
    <row r="3" spans="1:8" ht="15.75" thickBot="1" x14ac:dyDescent="0.3">
      <c r="B3" s="6" t="s">
        <v>88</v>
      </c>
      <c r="C3" t="str">
        <f t="shared" si="0"/>
        <v>planul</v>
      </c>
      <c r="D3" t="str">
        <f t="shared" ref="D3:D48" si="1">MID(B3,9,2)</f>
        <v>NF</v>
      </c>
      <c r="F3">
        <v>1.523202538469429</v>
      </c>
    </row>
    <row r="4" spans="1:8" ht="15.75" thickBot="1" x14ac:dyDescent="0.3">
      <c r="B4" s="6" t="s">
        <v>89</v>
      </c>
      <c r="C4" t="str">
        <f t="shared" si="0"/>
        <v>planul</v>
      </c>
      <c r="D4" t="str">
        <f t="shared" si="1"/>
        <v>HF</v>
      </c>
      <c r="F4">
        <v>1.60727058120985</v>
      </c>
    </row>
    <row r="5" spans="1:8" ht="15.75" thickBot="1" x14ac:dyDescent="0.3">
      <c r="B5" s="6" t="s">
        <v>90</v>
      </c>
      <c r="C5" t="str">
        <f t="shared" si="0"/>
        <v>planul</v>
      </c>
      <c r="D5" t="str">
        <f t="shared" si="1"/>
        <v>NF</v>
      </c>
      <c r="F5">
        <v>0.53430488394975106</v>
      </c>
    </row>
    <row r="6" spans="1:8" ht="15.75" thickBot="1" x14ac:dyDescent="0.3">
      <c r="B6" s="6" t="s">
        <v>92</v>
      </c>
      <c r="C6" t="str">
        <f t="shared" si="0"/>
        <v>planul</v>
      </c>
      <c r="D6" t="str">
        <f t="shared" si="1"/>
        <v>HF</v>
      </c>
      <c r="F6">
        <v>2.4278834538107721</v>
      </c>
    </row>
    <row r="7" spans="1:8" ht="15.75" thickBot="1" x14ac:dyDescent="0.3">
      <c r="B7" s="6" t="s">
        <v>93</v>
      </c>
      <c r="C7" t="str">
        <f t="shared" si="0"/>
        <v>planul</v>
      </c>
      <c r="D7" t="str">
        <f t="shared" si="1"/>
        <v>NF</v>
      </c>
      <c r="F7">
        <v>2.8672523490448576</v>
      </c>
    </row>
    <row r="8" spans="1:8" ht="15.75" thickBot="1" x14ac:dyDescent="0.3">
      <c r="B8" s="6" t="s">
        <v>95</v>
      </c>
      <c r="C8" t="str">
        <f t="shared" si="0"/>
        <v>planul</v>
      </c>
      <c r="D8" t="str">
        <f t="shared" si="1"/>
        <v>HF</v>
      </c>
      <c r="F8">
        <v>1.0384807280501576</v>
      </c>
    </row>
    <row r="9" spans="1:8" ht="15.75" thickBot="1" x14ac:dyDescent="0.3">
      <c r="B9" s="6" t="s">
        <v>96</v>
      </c>
      <c r="C9" t="str">
        <f t="shared" si="0"/>
        <v>planul</v>
      </c>
      <c r="D9" t="str">
        <f t="shared" si="1"/>
        <v>NF</v>
      </c>
      <c r="F9">
        <v>3.4499129529412862</v>
      </c>
    </row>
    <row r="10" spans="1:8" ht="15.75" thickBot="1" x14ac:dyDescent="0.3">
      <c r="B10" s="6" t="s">
        <v>98</v>
      </c>
      <c r="C10" t="str">
        <f t="shared" si="0"/>
        <v>planul</v>
      </c>
      <c r="D10" t="str">
        <f t="shared" si="1"/>
        <v>HF</v>
      </c>
      <c r="F10">
        <v>2.2847056320277326</v>
      </c>
    </row>
    <row r="11" spans="1:8" ht="15.75" thickBot="1" x14ac:dyDescent="0.3">
      <c r="B11" s="6" t="s">
        <v>99</v>
      </c>
      <c r="C11" t="str">
        <f t="shared" si="0"/>
        <v>planul</v>
      </c>
      <c r="D11" t="str">
        <f t="shared" si="1"/>
        <v>NF</v>
      </c>
      <c r="F11">
        <v>0.84719773270588439</v>
      </c>
    </row>
    <row r="12" spans="1:8" ht="15.75" thickBot="1" x14ac:dyDescent="0.3">
      <c r="B12" s="6" t="s">
        <v>101</v>
      </c>
      <c r="C12" t="str">
        <f t="shared" si="0"/>
        <v>planul</v>
      </c>
      <c r="D12" t="str">
        <f t="shared" si="1"/>
        <v>HF</v>
      </c>
      <c r="F12">
        <v>2.4509151911418532</v>
      </c>
    </row>
    <row r="13" spans="1:8" ht="15.75" thickBot="1" x14ac:dyDescent="0.3">
      <c r="B13" s="6" t="s">
        <v>102</v>
      </c>
      <c r="C13" t="str">
        <f t="shared" si="0"/>
        <v>planul</v>
      </c>
      <c r="D13" t="str">
        <f t="shared" si="1"/>
        <v>NF</v>
      </c>
      <c r="F13">
        <v>2.231322992618614</v>
      </c>
    </row>
    <row r="14" spans="1:8" ht="15.75" thickBot="1" x14ac:dyDescent="0.3">
      <c r="B14" s="6"/>
      <c r="C14" t="str">
        <f t="shared" si="0"/>
        <v/>
      </c>
      <c r="D14" t="str">
        <f t="shared" si="1"/>
        <v/>
      </c>
      <c r="E14" t="str">
        <f t="shared" ref="E14:E48" si="2">MID(B14,11,3)</f>
        <v/>
      </c>
    </row>
    <row r="15" spans="1:8" ht="15.75" thickBot="1" x14ac:dyDescent="0.3">
      <c r="B15" s="6"/>
      <c r="C15" t="str">
        <f t="shared" si="0"/>
        <v/>
      </c>
      <c r="D15" t="str">
        <f t="shared" si="1"/>
        <v/>
      </c>
      <c r="E15" t="str">
        <f t="shared" si="2"/>
        <v/>
      </c>
    </row>
    <row r="16" spans="1:8" ht="15.75" thickBot="1" x14ac:dyDescent="0.3">
      <c r="B16" s="6"/>
      <c r="C16" t="str">
        <f t="shared" si="0"/>
        <v/>
      </c>
      <c r="D16" t="str">
        <f t="shared" si="1"/>
        <v/>
      </c>
      <c r="E16" t="str">
        <f t="shared" si="2"/>
        <v/>
      </c>
    </row>
    <row r="17" spans="2:5" ht="15.75" thickBot="1" x14ac:dyDescent="0.3">
      <c r="B17" s="6"/>
      <c r="C17" t="str">
        <f t="shared" si="0"/>
        <v/>
      </c>
      <c r="D17" t="str">
        <f t="shared" si="1"/>
        <v/>
      </c>
      <c r="E17" t="str">
        <f t="shared" si="2"/>
        <v/>
      </c>
    </row>
    <row r="18" spans="2:5" ht="15.75" thickBot="1" x14ac:dyDescent="0.3">
      <c r="B18" s="6"/>
      <c r="C18" t="str">
        <f t="shared" si="0"/>
        <v/>
      </c>
      <c r="D18" t="str">
        <f t="shared" si="1"/>
        <v/>
      </c>
      <c r="E18" t="str">
        <f t="shared" si="2"/>
        <v/>
      </c>
    </row>
    <row r="19" spans="2:5" ht="15.75" thickBot="1" x14ac:dyDescent="0.3">
      <c r="B19" s="6"/>
      <c r="C19" t="str">
        <f t="shared" si="0"/>
        <v/>
      </c>
      <c r="D19" t="str">
        <f t="shared" si="1"/>
        <v/>
      </c>
      <c r="E19" t="str">
        <f t="shared" si="2"/>
        <v/>
      </c>
    </row>
    <row r="20" spans="2:5" ht="15.75" thickBot="1" x14ac:dyDescent="0.3">
      <c r="B20" s="6"/>
      <c r="C20" t="str">
        <f t="shared" si="0"/>
        <v/>
      </c>
      <c r="D20" t="str">
        <f t="shared" si="1"/>
        <v/>
      </c>
      <c r="E20" t="str">
        <f t="shared" si="2"/>
        <v/>
      </c>
    </row>
    <row r="21" spans="2:5" ht="15.75" thickBot="1" x14ac:dyDescent="0.3">
      <c r="B21" s="6"/>
      <c r="C21" t="str">
        <f t="shared" si="0"/>
        <v/>
      </c>
      <c r="D21" t="str">
        <f t="shared" si="1"/>
        <v/>
      </c>
      <c r="E21" t="str">
        <f t="shared" si="2"/>
        <v/>
      </c>
    </row>
    <row r="22" spans="2:5" ht="15.75" thickBot="1" x14ac:dyDescent="0.3">
      <c r="B22" s="6"/>
      <c r="C22" t="str">
        <f t="shared" si="0"/>
        <v/>
      </c>
      <c r="D22" t="str">
        <f t="shared" si="1"/>
        <v/>
      </c>
      <c r="E22" t="str">
        <f t="shared" si="2"/>
        <v/>
      </c>
    </row>
    <row r="23" spans="2:5" ht="15.75" thickBot="1" x14ac:dyDescent="0.3">
      <c r="B23" s="6"/>
      <c r="C23" t="str">
        <f t="shared" si="0"/>
        <v/>
      </c>
      <c r="D23" t="str">
        <f t="shared" si="1"/>
        <v/>
      </c>
      <c r="E23" t="str">
        <f t="shared" si="2"/>
        <v/>
      </c>
    </row>
    <row r="24" spans="2:5" ht="15.75" thickBot="1" x14ac:dyDescent="0.3">
      <c r="B24" s="6"/>
      <c r="C24" t="str">
        <f t="shared" si="0"/>
        <v/>
      </c>
      <c r="D24" t="str">
        <f t="shared" si="1"/>
        <v/>
      </c>
      <c r="E24" t="str">
        <f t="shared" si="2"/>
        <v/>
      </c>
    </row>
    <row r="25" spans="2:5" ht="15.75" thickBot="1" x14ac:dyDescent="0.3">
      <c r="B25" s="6"/>
      <c r="C25" t="str">
        <f t="shared" si="0"/>
        <v/>
      </c>
      <c r="D25" t="str">
        <f t="shared" si="1"/>
        <v/>
      </c>
      <c r="E25" t="str">
        <f t="shared" si="2"/>
        <v/>
      </c>
    </row>
    <row r="26" spans="2:5" ht="15.75" thickBot="1" x14ac:dyDescent="0.3">
      <c r="B26" s="6"/>
      <c r="C26" t="str">
        <f t="shared" si="0"/>
        <v/>
      </c>
      <c r="D26" t="str">
        <f t="shared" si="1"/>
        <v/>
      </c>
      <c r="E26" t="str">
        <f t="shared" si="2"/>
        <v/>
      </c>
    </row>
    <row r="27" spans="2:5" ht="15.75" thickBot="1" x14ac:dyDescent="0.3">
      <c r="B27" s="6"/>
      <c r="C27" t="str">
        <f t="shared" si="0"/>
        <v/>
      </c>
      <c r="D27" t="str">
        <f t="shared" si="1"/>
        <v/>
      </c>
      <c r="E27" t="str">
        <f t="shared" si="2"/>
        <v/>
      </c>
    </row>
    <row r="28" spans="2:5" ht="15.75" thickBot="1" x14ac:dyDescent="0.3">
      <c r="B28" s="6"/>
      <c r="C28" t="str">
        <f t="shared" si="0"/>
        <v/>
      </c>
      <c r="D28" t="str">
        <f t="shared" si="1"/>
        <v/>
      </c>
      <c r="E28" t="str">
        <f t="shared" si="2"/>
        <v/>
      </c>
    </row>
    <row r="29" spans="2:5" ht="15.75" thickBot="1" x14ac:dyDescent="0.3">
      <c r="B29" s="6"/>
      <c r="C29" t="str">
        <f t="shared" si="0"/>
        <v/>
      </c>
      <c r="D29" t="str">
        <f t="shared" si="1"/>
        <v/>
      </c>
      <c r="E29" t="str">
        <f t="shared" si="2"/>
        <v/>
      </c>
    </row>
    <row r="30" spans="2:5" ht="15.75" thickBot="1" x14ac:dyDescent="0.3">
      <c r="B30" s="6"/>
      <c r="C30" t="str">
        <f t="shared" si="0"/>
        <v/>
      </c>
      <c r="D30" t="str">
        <f t="shared" si="1"/>
        <v/>
      </c>
      <c r="E30" t="str">
        <f t="shared" si="2"/>
        <v/>
      </c>
    </row>
    <row r="31" spans="2:5" ht="15.75" thickBot="1" x14ac:dyDescent="0.3">
      <c r="B31" s="6"/>
      <c r="C31" t="str">
        <f t="shared" si="0"/>
        <v/>
      </c>
      <c r="D31" t="str">
        <f t="shared" si="1"/>
        <v/>
      </c>
      <c r="E31" t="str">
        <f t="shared" si="2"/>
        <v/>
      </c>
    </row>
    <row r="32" spans="2:5" ht="15.75" thickBot="1" x14ac:dyDescent="0.3">
      <c r="B32" s="6"/>
      <c r="C32" t="str">
        <f t="shared" si="0"/>
        <v/>
      </c>
      <c r="D32" t="str">
        <f t="shared" si="1"/>
        <v/>
      </c>
      <c r="E32" t="str">
        <f t="shared" si="2"/>
        <v/>
      </c>
    </row>
    <row r="33" spans="2:5" ht="15.75" thickBot="1" x14ac:dyDescent="0.3">
      <c r="B33" s="6"/>
      <c r="C33" t="str">
        <f t="shared" si="0"/>
        <v/>
      </c>
      <c r="D33" t="str">
        <f t="shared" si="1"/>
        <v/>
      </c>
      <c r="E33" t="str">
        <f t="shared" si="2"/>
        <v/>
      </c>
    </row>
    <row r="34" spans="2:5" ht="15.75" thickBot="1" x14ac:dyDescent="0.3">
      <c r="B34" s="6"/>
      <c r="C34" t="str">
        <f t="shared" si="0"/>
        <v/>
      </c>
      <c r="D34" t="str">
        <f t="shared" si="1"/>
        <v/>
      </c>
      <c r="E34" t="str">
        <f t="shared" si="2"/>
        <v/>
      </c>
    </row>
    <row r="35" spans="2:5" ht="15.75" thickBot="1" x14ac:dyDescent="0.3">
      <c r="B35" s="6"/>
      <c r="C35" t="str">
        <f t="shared" si="0"/>
        <v/>
      </c>
      <c r="D35" t="str">
        <f t="shared" si="1"/>
        <v/>
      </c>
      <c r="E35" t="str">
        <f t="shared" si="2"/>
        <v/>
      </c>
    </row>
    <row r="36" spans="2:5" ht="15.75" thickBot="1" x14ac:dyDescent="0.3">
      <c r="B36" s="6"/>
      <c r="C36" t="str">
        <f t="shared" si="0"/>
        <v/>
      </c>
      <c r="D36" t="str">
        <f t="shared" si="1"/>
        <v/>
      </c>
      <c r="E36" t="str">
        <f t="shared" si="2"/>
        <v/>
      </c>
    </row>
    <row r="37" spans="2:5" ht="15.75" thickBot="1" x14ac:dyDescent="0.3">
      <c r="B37" s="6"/>
      <c r="C37" t="str">
        <f t="shared" si="0"/>
        <v/>
      </c>
      <c r="D37" t="str">
        <f t="shared" si="1"/>
        <v/>
      </c>
      <c r="E37" t="str">
        <f t="shared" si="2"/>
        <v/>
      </c>
    </row>
    <row r="38" spans="2:5" ht="15.75" thickBot="1" x14ac:dyDescent="0.3">
      <c r="B38" s="6"/>
      <c r="C38" t="str">
        <f t="shared" si="0"/>
        <v/>
      </c>
      <c r="D38" t="str">
        <f t="shared" si="1"/>
        <v/>
      </c>
      <c r="E38" t="str">
        <f t="shared" si="2"/>
        <v/>
      </c>
    </row>
    <row r="39" spans="2:5" ht="15.75" thickBot="1" x14ac:dyDescent="0.3">
      <c r="B39" s="6"/>
      <c r="C39" t="str">
        <f t="shared" si="0"/>
        <v/>
      </c>
      <c r="D39" t="str">
        <f t="shared" si="1"/>
        <v/>
      </c>
      <c r="E39" t="str">
        <f t="shared" si="2"/>
        <v/>
      </c>
    </row>
    <row r="40" spans="2:5" ht="15.75" thickBot="1" x14ac:dyDescent="0.3">
      <c r="B40" s="6"/>
      <c r="C40" t="str">
        <f t="shared" si="0"/>
        <v/>
      </c>
      <c r="D40" t="str">
        <f t="shared" si="1"/>
        <v/>
      </c>
      <c r="E40" t="str">
        <f t="shared" si="2"/>
        <v/>
      </c>
    </row>
    <row r="41" spans="2:5" ht="15.75" thickBot="1" x14ac:dyDescent="0.3">
      <c r="B41" s="6"/>
      <c r="C41" t="str">
        <f t="shared" si="0"/>
        <v/>
      </c>
      <c r="D41" t="str">
        <f t="shared" si="1"/>
        <v/>
      </c>
      <c r="E41" t="str">
        <f t="shared" si="2"/>
        <v/>
      </c>
    </row>
    <row r="42" spans="2:5" ht="15.75" thickBot="1" x14ac:dyDescent="0.3">
      <c r="B42" s="6"/>
      <c r="C42" t="str">
        <f t="shared" si="0"/>
        <v/>
      </c>
      <c r="D42" t="str">
        <f t="shared" si="1"/>
        <v/>
      </c>
      <c r="E42" t="str">
        <f t="shared" si="2"/>
        <v/>
      </c>
    </row>
    <row r="43" spans="2:5" ht="15.75" thickBot="1" x14ac:dyDescent="0.3">
      <c r="B43" s="6"/>
      <c r="C43" t="str">
        <f t="shared" si="0"/>
        <v/>
      </c>
      <c r="D43" t="str">
        <f t="shared" si="1"/>
        <v/>
      </c>
      <c r="E43" t="str">
        <f t="shared" si="2"/>
        <v/>
      </c>
    </row>
    <row r="44" spans="2:5" ht="15.75" thickBot="1" x14ac:dyDescent="0.3">
      <c r="B44" s="6"/>
      <c r="C44" t="str">
        <f t="shared" si="0"/>
        <v/>
      </c>
      <c r="D44" t="str">
        <f t="shared" si="1"/>
        <v/>
      </c>
      <c r="E44" t="str">
        <f t="shared" si="2"/>
        <v/>
      </c>
    </row>
    <row r="45" spans="2:5" ht="15.75" thickBot="1" x14ac:dyDescent="0.3">
      <c r="B45" s="6"/>
      <c r="C45" t="str">
        <f t="shared" si="0"/>
        <v/>
      </c>
      <c r="D45" t="str">
        <f t="shared" si="1"/>
        <v/>
      </c>
      <c r="E45" t="str">
        <f t="shared" si="2"/>
        <v/>
      </c>
    </row>
    <row r="46" spans="2:5" ht="15.75" thickBot="1" x14ac:dyDescent="0.3">
      <c r="B46" s="6"/>
      <c r="C46" t="str">
        <f t="shared" si="0"/>
        <v/>
      </c>
      <c r="D46" t="str">
        <f t="shared" si="1"/>
        <v/>
      </c>
      <c r="E46" t="str">
        <f t="shared" si="2"/>
        <v/>
      </c>
    </row>
    <row r="47" spans="2:5" ht="15.75" thickBot="1" x14ac:dyDescent="0.3">
      <c r="B47" s="6"/>
      <c r="C47" t="str">
        <f t="shared" si="0"/>
        <v/>
      </c>
      <c r="D47" t="str">
        <f t="shared" si="1"/>
        <v/>
      </c>
      <c r="E47" t="str">
        <f t="shared" si="2"/>
        <v/>
      </c>
    </row>
    <row r="48" spans="2:5" ht="15.75" thickBot="1" x14ac:dyDescent="0.3">
      <c r="B48" s="6"/>
      <c r="C48" t="str">
        <f t="shared" si="0"/>
        <v/>
      </c>
      <c r="D48" t="str">
        <f t="shared" si="1"/>
        <v/>
      </c>
      <c r="E48" t="str">
        <f t="shared" si="2"/>
        <v/>
      </c>
    </row>
  </sheetData>
  <autoFilter ref="A1:H1" xr:uid="{00000000-0001-0000-0000-000000000000}">
    <sortState xmlns:xlrd2="http://schemas.microsoft.com/office/spreadsheetml/2017/richdata2" ref="A2:H181">
      <sortCondition descending="1"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SpatOxy_08042025</vt:lpstr>
      <vt:lpstr>PlanulaeOxy_08042025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Uziahu</dc:creator>
  <cp:lastModifiedBy>Liel Uziahu</cp:lastModifiedBy>
  <dcterms:created xsi:type="dcterms:W3CDTF">2015-06-05T18:17:20Z</dcterms:created>
  <dcterms:modified xsi:type="dcterms:W3CDTF">2025-05-17T20:33:34Z</dcterms:modified>
</cp:coreProperties>
</file>