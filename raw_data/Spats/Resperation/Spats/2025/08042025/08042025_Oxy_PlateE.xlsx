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149EDB5D-DBE2-42C8-B262-B6C7DDF3729C}" xr6:coauthVersionLast="47" xr6:coauthVersionMax="47" xr10:uidLastSave="{00000000-0000-0000-0000-000000000000}"/>
  <bookViews>
    <workbookView xWindow="-120" yWindow="-120" windowWidth="38640" windowHeight="21120" xr2:uid="{DD43EB04-185B-4FC5-A92B-DA247F1D8667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2" l="1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D83" i="2"/>
  <c r="D154" i="2" s="1"/>
  <c r="D155" i="2" s="1"/>
  <c r="E83" i="2"/>
  <c r="E154" i="2" s="1"/>
  <c r="E155" i="2" s="1"/>
  <c r="F83" i="2"/>
  <c r="F154" i="2" s="1"/>
  <c r="F155" i="2" s="1"/>
  <c r="G83" i="2"/>
  <c r="G154" i="2" s="1"/>
  <c r="G155" i="2" s="1"/>
  <c r="H83" i="2"/>
  <c r="H154" i="2" s="1"/>
  <c r="H155" i="2" s="1"/>
  <c r="I83" i="2"/>
  <c r="I154" i="2" s="1"/>
  <c r="I155" i="2" s="1"/>
  <c r="J83" i="2"/>
  <c r="J154" i="2" s="1"/>
  <c r="J155" i="2" s="1"/>
  <c r="K83" i="2"/>
  <c r="K154" i="2" s="1"/>
  <c r="K155" i="2" s="1"/>
  <c r="L83" i="2"/>
  <c r="L154" i="2" s="1"/>
  <c r="L155" i="2" s="1"/>
  <c r="M83" i="2"/>
  <c r="M154" i="2" s="1"/>
  <c r="M155" i="2" s="1"/>
  <c r="N83" i="2"/>
  <c r="N154" i="2" s="1"/>
  <c r="N155" i="2" s="1"/>
  <c r="O83" i="2"/>
  <c r="O154" i="2" s="1"/>
  <c r="O155" i="2" s="1"/>
  <c r="P83" i="2"/>
  <c r="P154" i="2" s="1"/>
  <c r="P155" i="2" s="1"/>
  <c r="Q83" i="2"/>
  <c r="Q154" i="2" s="1"/>
  <c r="Q155" i="2" s="1"/>
  <c r="R83" i="2"/>
  <c r="R154" i="2" s="1"/>
  <c r="R155" i="2" s="1"/>
  <c r="S83" i="2"/>
  <c r="S154" i="2" s="1"/>
  <c r="S155" i="2" s="1"/>
  <c r="T83" i="2"/>
  <c r="T154" i="2" s="1"/>
  <c r="T155" i="2" s="1"/>
  <c r="U83" i="2"/>
  <c r="U154" i="2" s="1"/>
  <c r="U155" i="2" s="1"/>
  <c r="V83" i="2"/>
  <c r="V154" i="2" s="1"/>
  <c r="V155" i="2" s="1"/>
  <c r="W83" i="2"/>
  <c r="W154" i="2" s="1"/>
  <c r="W155" i="2" s="1"/>
  <c r="X83" i="2"/>
  <c r="X154" i="2" s="1"/>
  <c r="X155" i="2" s="1"/>
  <c r="Y83" i="2"/>
  <c r="Y154" i="2" s="1"/>
  <c r="Y155" i="2" s="1"/>
  <c r="Z83" i="2"/>
  <c r="Z154" i="2" s="1"/>
  <c r="Z155" i="2" s="1"/>
  <c r="C83" i="2"/>
  <c r="C154" i="2" s="1"/>
  <c r="C155" i="2" s="1"/>
  <c r="AC154" i="2" l="1"/>
  <c r="H156" i="2" s="1"/>
  <c r="L156" i="2"/>
  <c r="K156" i="2"/>
  <c r="Y156" i="2"/>
  <c r="X156" i="2"/>
  <c r="W156" i="2"/>
  <c r="V156" i="2"/>
  <c r="M156" i="2"/>
  <c r="U156" i="2"/>
  <c r="N156" i="2" l="1"/>
  <c r="C156" i="2"/>
  <c r="Z156" i="2"/>
  <c r="F156" i="2"/>
  <c r="Q156" i="2"/>
  <c r="S156" i="2"/>
  <c r="R156" i="2"/>
  <c r="T156" i="2"/>
  <c r="D156" i="2"/>
  <c r="E156" i="2"/>
  <c r="O156" i="2"/>
  <c r="P156" i="2"/>
  <c r="J156" i="2"/>
  <c r="G156" i="2"/>
  <c r="I156" i="2"/>
</calcChain>
</file>

<file path=xl/sharedStrings.xml><?xml version="1.0" encoding="utf-8"?>
<sst xmlns="http://schemas.openxmlformats.org/spreadsheetml/2006/main" count="155" uniqueCount="152">
  <si>
    <t>Measurement Name :</t>
  </si>
  <si>
    <t>plate e</t>
  </si>
  <si>
    <t>Generated On :</t>
  </si>
  <si>
    <t>08/04/2025, 14:44:13</t>
  </si>
  <si>
    <t>Start Date/Time:</t>
  </si>
  <si>
    <t>08/04/2025, 14:26:46</t>
  </si>
  <si>
    <t>End Date/Time:</t>
  </si>
  <si>
    <t>08/04/2025, 14:43:51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</si>
  <si>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</si>
  <si>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</si>
  <si>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</si>
  <si>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</si>
  <si>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</si>
  <si>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</si>
  <si>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</si>
  <si>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</si>
  <si>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</si>
  <si>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</si>
  <si>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</si>
  <si>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</si>
  <si>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</si>
  <si>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</si>
  <si>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</si>
  <si>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</si>
  <si>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</si>
  <si>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</si>
  <si>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</si>
  <si>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</si>
  <si>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</si>
  <si>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</si>
  <si>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</si>
  <si>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</si>
  <si>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</si>
  <si>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</si>
  <si>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</si>
  <si>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</si>
  <si>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</si>
  <si>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</si>
  <si>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</si>
  <si>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</si>
  <si>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</si>
  <si>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</si>
  <si>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</si>
  <si>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</si>
  <si>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</si>
  <si>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</si>
  <si>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</si>
  <si>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</si>
  <si>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</si>
  <si>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</si>
  <si>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</si>
  <si>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</si>
  <si>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</si>
  <si>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</si>
  <si>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</si>
  <si>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</si>
  <si>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</si>
  <si>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</si>
  <si>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</si>
  <si>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14:26:48</t>
  </si>
  <si>
    <t>08.04.25 14:27:03</t>
  </si>
  <si>
    <t>08.04.25 14:27:18</t>
  </si>
  <si>
    <t>08.04.25 14:27:33</t>
  </si>
  <si>
    <t>08.04.25 14:27:48</t>
  </si>
  <si>
    <t>08.04.25 14:28:03</t>
  </si>
  <si>
    <t>08.04.25 14:28:18</t>
  </si>
  <si>
    <t>08.04.25 14:28:33</t>
  </si>
  <si>
    <t>08.04.25 14:28:48</t>
  </si>
  <si>
    <t>08.04.25 14:29:03</t>
  </si>
  <si>
    <t>08.04.25 14:29:18</t>
  </si>
  <si>
    <t>08.04.25 14:29:33</t>
  </si>
  <si>
    <t>08.04.25 14:29:48</t>
  </si>
  <si>
    <t>08.04.25 14:30:03</t>
  </si>
  <si>
    <t>08.04.25 14:30:18</t>
  </si>
  <si>
    <t>08.04.25 14:30:33</t>
  </si>
  <si>
    <t>08.04.25 14:30:48</t>
  </si>
  <si>
    <t>08.04.25 14:31:03</t>
  </si>
  <si>
    <t>08.04.25 14:31:18</t>
  </si>
  <si>
    <t>08.04.25 14:31:34</t>
  </si>
  <si>
    <t>08.04.25 14:31:49</t>
  </si>
  <si>
    <t>08.04.25 14:32:04</t>
  </si>
  <si>
    <t>08.04.25 14:32:19</t>
  </si>
  <si>
    <t>08.04.25 14:32:34</t>
  </si>
  <si>
    <t>08.04.25 14:32:49</t>
  </si>
  <si>
    <t>08.04.25 14:33:04</t>
  </si>
  <si>
    <t>08.04.25 14:33:19</t>
  </si>
  <si>
    <t>08.04.25 14:33:34</t>
  </si>
  <si>
    <t>08.04.25 14:33:49</t>
  </si>
  <si>
    <t>08.04.25 14:34:04</t>
  </si>
  <si>
    <t>08.04.25 14:34:19</t>
  </si>
  <si>
    <t>08.04.25 14:34:34</t>
  </si>
  <si>
    <t>08.04.25 14:34:49</t>
  </si>
  <si>
    <t>08.04.25 14:35:04</t>
  </si>
  <si>
    <t>08.04.25 14:35:19</t>
  </si>
  <si>
    <t>08.04.25 14:35:34</t>
  </si>
  <si>
    <t>08.04.25 14:35:49</t>
  </si>
  <si>
    <t>08.04.25 14:36:04</t>
  </si>
  <si>
    <t>08.04.25 14:36:19</t>
  </si>
  <si>
    <t>08.04.25 14:36:34</t>
  </si>
  <si>
    <t>08.04.25 14:36:49</t>
  </si>
  <si>
    <t>08.04.25 14:37:04</t>
  </si>
  <si>
    <t>08.04.25 14:37:19</t>
  </si>
  <si>
    <t>08.04.25 14:37:34</t>
  </si>
  <si>
    <t>08.04.25 14:37:49</t>
  </si>
  <si>
    <t>08.04.25 14:38:04</t>
  </si>
  <si>
    <t>08.04.25 14:38:19</t>
  </si>
  <si>
    <t>08.04.25 14:38:34</t>
  </si>
  <si>
    <t>08.04.25 14:38:49</t>
  </si>
  <si>
    <t>08.04.25 14:39:05</t>
  </si>
  <si>
    <t>08.04.25 14:39:20</t>
  </si>
  <si>
    <t>08.04.25 14:39:35</t>
  </si>
  <si>
    <t>08.04.25 14:39:50</t>
  </si>
  <si>
    <t>08.04.25 14:40:05</t>
  </si>
  <si>
    <t>08.04.25 14:40:20</t>
  </si>
  <si>
    <t>08.04.25 14:40:35</t>
  </si>
  <si>
    <t>08.04.25 14:40:50</t>
  </si>
  <si>
    <t>08.04.25 14:41:05</t>
  </si>
  <si>
    <t>08.04.25 14:41:20</t>
  </si>
  <si>
    <t>08.04.25 14:41:35</t>
  </si>
  <si>
    <t>08.04.25 14:41:50</t>
  </si>
  <si>
    <t>08.04.25 14:42:05</t>
  </si>
  <si>
    <t>08.04.25 14:42:20</t>
  </si>
  <si>
    <t>08.04.25 14:42:35</t>
  </si>
  <si>
    <t>08.04.25 14:42:50</t>
  </si>
  <si>
    <t>08.04.25 14:43:05</t>
  </si>
  <si>
    <t>08.04.25 14:43:20</t>
  </si>
  <si>
    <t>08.04.25 14:43:35</t>
  </si>
  <si>
    <t>BLANK</t>
  </si>
  <si>
    <t>BLNK AVERAGE</t>
  </si>
  <si>
    <t>Slope</t>
  </si>
  <si>
    <t>Posetiving</t>
  </si>
  <si>
    <t>WithoutBlank</t>
  </si>
  <si>
    <t>plateE_NF_DARK_1</t>
  </si>
  <si>
    <t>plateE_HF_control_3</t>
  </si>
  <si>
    <t>plateE_HF_control_8</t>
  </si>
  <si>
    <t>plateE_NF_DARK_2</t>
  </si>
  <si>
    <t>plateE_HF_control_4</t>
  </si>
  <si>
    <t>plateE_HF_control_9</t>
  </si>
  <si>
    <t>plateE_HF_control_14</t>
  </si>
  <si>
    <t>plateE_HF_control_5</t>
  </si>
  <si>
    <t>plateE_HF_control_10</t>
  </si>
  <si>
    <t>plateE_HF_control_15</t>
  </si>
  <si>
    <t>plateE_NF_DARK_3</t>
  </si>
  <si>
    <t>plateE_HF_control_11</t>
  </si>
  <si>
    <t>plateE_NF_control_1</t>
  </si>
  <si>
    <t>plateE_HF_control_1</t>
  </si>
  <si>
    <t>plateE_HF_control_6</t>
  </si>
  <si>
    <t>plateE_NF_control_2</t>
  </si>
  <si>
    <t>plateE_HF_control_2</t>
  </si>
  <si>
    <t>plateE_HF_control_7</t>
  </si>
  <si>
    <t>plateE_HF_control_13</t>
  </si>
  <si>
    <t>plateE_HF_control_12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</si>
</sst>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C435-61CA-4AE4-822F-18BA0B023303}">
  <dimension ref="A1:AF158"/>
  <sheetViews>
    <sheetView tabSelected="1" topLeftCell="A136" workbookViewId="0">
      <selection activeCell="J168" sqref="J168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5">
      <c r="A2" t="s">
        <v>4</v>
      </c>
      <c r="B2" t="s">
        <v>5</v>
      </c>
      <c r="H2" t="s">
        <v>19</v>
      </c>
      <c r="I2" t="s">
        <v>20</v>
      </c>
    </row>
    <row r="3" spans="1:32" x14ac:dyDescent="0.25">
      <c r="A3" t="s">
        <v>6</v>
      </c>
      <c r="B3" t="s">
        <v>7</v>
      </c>
      <c r="H3" t="s">
        <v>22</v>
      </c>
      <c r="I3">
        <v>54.76</v>
      </c>
    </row>
    <row r="4" spans="1:32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25">
      <c r="A5" t="s">
        <v>11</v>
      </c>
      <c r="B5" t="s">
        <v>12</v>
      </c>
      <c r="H5" t="s">
        <v>24</v>
      </c>
      <c r="I5">
        <v>24.8</v>
      </c>
    </row>
    <row r="6" spans="1:32" x14ac:dyDescent="0.25">
      <c r="A6" t="s">
        <v>17</v>
      </c>
      <c r="B6" t="s">
        <v>18</v>
      </c>
      <c r="H6" t="s">
        <v>25</v>
      </c>
      <c r="I6">
        <v>24.8</v>
      </c>
    </row>
    <row r="7" spans="1:32" x14ac:dyDescent="0.25">
      <c r="H7" t="s">
        <v>26</v>
      </c>
      <c r="I7">
        <v>965</v>
      </c>
    </row>
    <row r="8" spans="1:32" x14ac:dyDescent="0.25">
      <c r="H8" t="s">
        <v>27</v>
      </c>
      <c r="I8">
        <v>100</v>
      </c>
    </row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83.94</v>
      </c>
      <c r="D14">
        <v>95.99</v>
      </c>
      <c r="E14">
        <v>70.2</v>
      </c>
      <c r="F14">
        <v>95.83</v>
      </c>
      <c r="G14">
        <v>76.48</v>
      </c>
      <c r="H14">
        <v>79.5</v>
      </c>
      <c r="I14">
        <v>83.02</v>
      </c>
      <c r="J14">
        <v>100.63</v>
      </c>
      <c r="K14">
        <v>93.92</v>
      </c>
      <c r="L14">
        <v>69.02</v>
      </c>
      <c r="M14">
        <v>83.32</v>
      </c>
      <c r="N14">
        <v>73.180000000000007</v>
      </c>
      <c r="O14">
        <v>85.33</v>
      </c>
      <c r="P14">
        <v>100.31</v>
      </c>
      <c r="Q14">
        <v>77.989999999999995</v>
      </c>
      <c r="R14">
        <v>92.35</v>
      </c>
      <c r="S14">
        <v>92.35</v>
      </c>
      <c r="T14">
        <v>89.21</v>
      </c>
      <c r="U14">
        <v>92.66</v>
      </c>
      <c r="V14">
        <v>92.98</v>
      </c>
      <c r="W14">
        <v>82.4</v>
      </c>
      <c r="X14">
        <v>68.13</v>
      </c>
      <c r="Y14">
        <v>89.05</v>
      </c>
      <c r="Z14">
        <v>97.58</v>
      </c>
      <c r="AB14">
        <v>23</v>
      </c>
      <c r="AC14">
        <v>965</v>
      </c>
      <c r="AD14">
        <v>39</v>
      </c>
      <c r="AE14">
        <v>22.61</v>
      </c>
    </row>
    <row r="15" spans="1:32" x14ac:dyDescent="0.25">
      <c r="A15" t="s">
        <v>60</v>
      </c>
      <c r="B15">
        <v>0.28000000000000003</v>
      </c>
      <c r="C15">
        <v>83.63</v>
      </c>
      <c r="D15">
        <v>95.51</v>
      </c>
      <c r="E15">
        <v>69.760000000000005</v>
      </c>
      <c r="F15">
        <v>95.51</v>
      </c>
      <c r="G15">
        <v>76.02</v>
      </c>
      <c r="H15">
        <v>79.2</v>
      </c>
      <c r="I15">
        <v>82.4</v>
      </c>
      <c r="J15">
        <v>100.63</v>
      </c>
      <c r="K15">
        <v>94.4</v>
      </c>
      <c r="L15">
        <v>68.87</v>
      </c>
      <c r="M15">
        <v>82.71</v>
      </c>
      <c r="N15">
        <v>72.28</v>
      </c>
      <c r="O15">
        <v>84.71</v>
      </c>
      <c r="P15">
        <v>100.47</v>
      </c>
      <c r="Q15">
        <v>77.38</v>
      </c>
      <c r="R15">
        <v>92.35</v>
      </c>
      <c r="S15">
        <v>92.03</v>
      </c>
      <c r="T15">
        <v>88.9</v>
      </c>
      <c r="U15">
        <v>92.35</v>
      </c>
      <c r="V15">
        <v>92.98</v>
      </c>
      <c r="W15">
        <v>81.48</v>
      </c>
      <c r="X15">
        <v>67.25</v>
      </c>
      <c r="Y15">
        <v>88.58</v>
      </c>
      <c r="Z15">
        <v>97.26</v>
      </c>
      <c r="AB15">
        <v>23</v>
      </c>
      <c r="AC15">
        <v>965</v>
      </c>
      <c r="AD15">
        <v>39</v>
      </c>
      <c r="AE15">
        <v>22.61</v>
      </c>
    </row>
    <row r="16" spans="1:32" x14ac:dyDescent="0.25">
      <c r="A16" t="s">
        <v>61</v>
      </c>
      <c r="B16">
        <v>0.53</v>
      </c>
      <c r="C16">
        <v>83.78</v>
      </c>
      <c r="D16">
        <v>95.83</v>
      </c>
      <c r="E16">
        <v>69.31</v>
      </c>
      <c r="F16">
        <v>95.67</v>
      </c>
      <c r="G16">
        <v>76.33</v>
      </c>
      <c r="H16">
        <v>78.59</v>
      </c>
      <c r="I16">
        <v>81.64</v>
      </c>
      <c r="J16">
        <v>100.95</v>
      </c>
      <c r="K16">
        <v>94.56</v>
      </c>
      <c r="L16">
        <v>68.430000000000007</v>
      </c>
      <c r="M16">
        <v>82.56</v>
      </c>
      <c r="N16">
        <v>71.98</v>
      </c>
      <c r="O16">
        <v>85.17</v>
      </c>
      <c r="P16">
        <v>100.31</v>
      </c>
      <c r="Q16">
        <v>76.63</v>
      </c>
      <c r="R16">
        <v>91.87</v>
      </c>
      <c r="S16">
        <v>91.87</v>
      </c>
      <c r="T16">
        <v>88.9</v>
      </c>
      <c r="U16">
        <v>92.66</v>
      </c>
      <c r="V16">
        <v>92.66</v>
      </c>
      <c r="W16">
        <v>81.180000000000007</v>
      </c>
      <c r="X16">
        <v>67.11</v>
      </c>
      <c r="Y16">
        <v>88.58</v>
      </c>
      <c r="Z16">
        <v>97.26</v>
      </c>
      <c r="AB16">
        <v>23</v>
      </c>
      <c r="AC16">
        <v>965</v>
      </c>
      <c r="AD16">
        <v>39</v>
      </c>
      <c r="AE16">
        <v>22.63</v>
      </c>
    </row>
    <row r="17" spans="1:31" x14ac:dyDescent="0.25">
      <c r="A17" t="s">
        <v>62</v>
      </c>
      <c r="B17">
        <v>0.78</v>
      </c>
      <c r="C17">
        <v>83.32</v>
      </c>
      <c r="D17">
        <v>95.51</v>
      </c>
      <c r="E17">
        <v>69.17</v>
      </c>
      <c r="F17">
        <v>95.03</v>
      </c>
      <c r="G17">
        <v>75.87</v>
      </c>
      <c r="H17">
        <v>78.14</v>
      </c>
      <c r="I17">
        <v>81.64</v>
      </c>
      <c r="J17">
        <v>100.63</v>
      </c>
      <c r="K17">
        <v>94.56</v>
      </c>
      <c r="L17">
        <v>68.28</v>
      </c>
      <c r="M17">
        <v>82.25</v>
      </c>
      <c r="N17">
        <v>71.09</v>
      </c>
      <c r="O17">
        <v>85.02</v>
      </c>
      <c r="P17">
        <v>100.31</v>
      </c>
      <c r="Q17">
        <v>76.48</v>
      </c>
      <c r="R17">
        <v>91.87</v>
      </c>
      <c r="S17">
        <v>91.72</v>
      </c>
      <c r="T17">
        <v>88.58</v>
      </c>
      <c r="U17">
        <v>92.5</v>
      </c>
      <c r="V17">
        <v>91.87</v>
      </c>
      <c r="W17">
        <v>80.87</v>
      </c>
      <c r="X17">
        <v>67.25</v>
      </c>
      <c r="Y17">
        <v>87.96</v>
      </c>
      <c r="Z17">
        <v>97.26</v>
      </c>
      <c r="AB17">
        <v>23</v>
      </c>
      <c r="AC17">
        <v>965</v>
      </c>
      <c r="AD17">
        <v>39</v>
      </c>
      <c r="AE17">
        <v>22.63</v>
      </c>
    </row>
    <row r="18" spans="1:31" x14ac:dyDescent="0.25">
      <c r="A18" t="s">
        <v>63</v>
      </c>
      <c r="B18">
        <v>1.03</v>
      </c>
      <c r="C18">
        <v>83.32</v>
      </c>
      <c r="D18">
        <v>95.35</v>
      </c>
      <c r="E18">
        <v>68.72</v>
      </c>
      <c r="F18">
        <v>95.19</v>
      </c>
      <c r="G18">
        <v>75.42</v>
      </c>
      <c r="H18">
        <v>77.53</v>
      </c>
      <c r="I18">
        <v>80.87</v>
      </c>
      <c r="J18">
        <v>100.79</v>
      </c>
      <c r="K18">
        <v>94.24</v>
      </c>
      <c r="L18">
        <v>68.13</v>
      </c>
      <c r="M18">
        <v>81.94</v>
      </c>
      <c r="N18">
        <v>70.650000000000006</v>
      </c>
      <c r="O18">
        <v>84.55</v>
      </c>
      <c r="P18">
        <v>100.31</v>
      </c>
      <c r="Q18">
        <v>75.72</v>
      </c>
      <c r="R18">
        <v>91.56</v>
      </c>
      <c r="S18">
        <v>91.72</v>
      </c>
      <c r="T18">
        <v>88.74</v>
      </c>
      <c r="U18">
        <v>92.35</v>
      </c>
      <c r="V18">
        <v>91.72</v>
      </c>
      <c r="W18">
        <v>80.11</v>
      </c>
      <c r="X18">
        <v>66.67</v>
      </c>
      <c r="Y18">
        <v>87.81</v>
      </c>
      <c r="Z18">
        <v>96.78</v>
      </c>
      <c r="AB18">
        <v>23</v>
      </c>
      <c r="AC18">
        <v>965</v>
      </c>
      <c r="AD18">
        <v>39</v>
      </c>
      <c r="AE18">
        <v>22.65</v>
      </c>
    </row>
    <row r="19" spans="1:31" x14ac:dyDescent="0.25">
      <c r="A19" t="s">
        <v>64</v>
      </c>
      <c r="B19">
        <v>1.28</v>
      </c>
      <c r="C19">
        <v>83.32</v>
      </c>
      <c r="D19">
        <v>95.19</v>
      </c>
      <c r="E19">
        <v>68.58</v>
      </c>
      <c r="F19">
        <v>95.19</v>
      </c>
      <c r="G19">
        <v>75.72</v>
      </c>
      <c r="H19">
        <v>77.680000000000007</v>
      </c>
      <c r="I19">
        <v>80.42</v>
      </c>
      <c r="J19">
        <v>100.95</v>
      </c>
      <c r="K19">
        <v>94.56</v>
      </c>
      <c r="L19">
        <v>67.989999999999995</v>
      </c>
      <c r="M19">
        <v>81.33</v>
      </c>
      <c r="N19">
        <v>70.5</v>
      </c>
      <c r="O19">
        <v>84.71</v>
      </c>
      <c r="P19">
        <v>100.63</v>
      </c>
      <c r="Q19">
        <v>75.42</v>
      </c>
      <c r="R19">
        <v>91.87</v>
      </c>
      <c r="S19">
        <v>91.72</v>
      </c>
      <c r="T19">
        <v>88.58</v>
      </c>
      <c r="U19">
        <v>92.35</v>
      </c>
      <c r="V19">
        <v>91.4</v>
      </c>
      <c r="W19">
        <v>80.42</v>
      </c>
      <c r="X19">
        <v>66.67</v>
      </c>
      <c r="Y19">
        <v>87.96</v>
      </c>
      <c r="Z19">
        <v>96.94</v>
      </c>
      <c r="AB19">
        <v>23</v>
      </c>
      <c r="AC19">
        <v>965</v>
      </c>
      <c r="AD19">
        <v>39</v>
      </c>
      <c r="AE19">
        <v>22.67</v>
      </c>
    </row>
    <row r="20" spans="1:31" x14ac:dyDescent="0.25">
      <c r="A20" t="s">
        <v>65</v>
      </c>
      <c r="B20">
        <v>1.53</v>
      </c>
      <c r="C20">
        <v>82.86</v>
      </c>
      <c r="D20">
        <v>95.35</v>
      </c>
      <c r="E20">
        <v>67.84</v>
      </c>
      <c r="F20">
        <v>94.88</v>
      </c>
      <c r="G20">
        <v>75.12</v>
      </c>
      <c r="H20">
        <v>76.930000000000007</v>
      </c>
      <c r="I20">
        <v>80.260000000000005</v>
      </c>
      <c r="J20">
        <v>100.95</v>
      </c>
      <c r="K20">
        <v>94.24</v>
      </c>
      <c r="L20">
        <v>67.400000000000006</v>
      </c>
      <c r="M20">
        <v>80.87</v>
      </c>
      <c r="N20">
        <v>69.61</v>
      </c>
      <c r="O20">
        <v>84.09</v>
      </c>
      <c r="P20">
        <v>100.63</v>
      </c>
      <c r="Q20">
        <v>74.819999999999993</v>
      </c>
      <c r="R20">
        <v>91.56</v>
      </c>
      <c r="S20">
        <v>91.24</v>
      </c>
      <c r="T20">
        <v>88.58</v>
      </c>
      <c r="U20">
        <v>92.35</v>
      </c>
      <c r="V20">
        <v>91.24</v>
      </c>
      <c r="W20">
        <v>79.959999999999994</v>
      </c>
      <c r="X20">
        <v>66.23</v>
      </c>
      <c r="Y20">
        <v>87.34</v>
      </c>
      <c r="Z20">
        <v>97.1</v>
      </c>
      <c r="AB20">
        <v>23</v>
      </c>
      <c r="AC20">
        <v>965</v>
      </c>
      <c r="AD20">
        <v>39</v>
      </c>
      <c r="AE20">
        <v>22.68</v>
      </c>
    </row>
    <row r="21" spans="1:31" x14ac:dyDescent="0.25">
      <c r="A21" t="s">
        <v>66</v>
      </c>
      <c r="B21">
        <v>1.78</v>
      </c>
      <c r="C21">
        <v>83.02</v>
      </c>
      <c r="D21">
        <v>95.35</v>
      </c>
      <c r="E21">
        <v>67.55</v>
      </c>
      <c r="F21">
        <v>94.72</v>
      </c>
      <c r="G21">
        <v>75.27</v>
      </c>
      <c r="H21">
        <v>76.78</v>
      </c>
      <c r="I21">
        <v>80.11</v>
      </c>
      <c r="J21">
        <v>100.79</v>
      </c>
      <c r="K21">
        <v>94.72</v>
      </c>
      <c r="L21">
        <v>67.11</v>
      </c>
      <c r="M21">
        <v>80.42</v>
      </c>
      <c r="N21">
        <v>69.459999999999994</v>
      </c>
      <c r="O21">
        <v>84.09</v>
      </c>
      <c r="P21">
        <v>100.79</v>
      </c>
      <c r="Q21">
        <v>74.069999999999993</v>
      </c>
      <c r="R21">
        <v>91.4</v>
      </c>
      <c r="S21">
        <v>90.93</v>
      </c>
      <c r="T21">
        <v>88.27</v>
      </c>
      <c r="U21">
        <v>92.35</v>
      </c>
      <c r="V21">
        <v>90.93</v>
      </c>
      <c r="W21">
        <v>79.2</v>
      </c>
      <c r="X21">
        <v>65.930000000000007</v>
      </c>
      <c r="Y21">
        <v>87.18</v>
      </c>
      <c r="Z21">
        <v>96.78</v>
      </c>
      <c r="AB21">
        <v>23</v>
      </c>
      <c r="AC21">
        <v>965</v>
      </c>
      <c r="AD21">
        <v>39</v>
      </c>
      <c r="AE21">
        <v>22.7</v>
      </c>
    </row>
    <row r="22" spans="1:31" x14ac:dyDescent="0.25">
      <c r="A22" t="s">
        <v>67</v>
      </c>
      <c r="B22">
        <v>2.0299999999999998</v>
      </c>
      <c r="C22">
        <v>82.86</v>
      </c>
      <c r="D22">
        <v>95.51</v>
      </c>
      <c r="E22">
        <v>67.25</v>
      </c>
      <c r="F22">
        <v>95.03</v>
      </c>
      <c r="G22">
        <v>74.97</v>
      </c>
      <c r="H22">
        <v>76.48</v>
      </c>
      <c r="I22">
        <v>79.81</v>
      </c>
      <c r="J22">
        <v>100.79</v>
      </c>
      <c r="K22">
        <v>94.56</v>
      </c>
      <c r="L22">
        <v>67.25</v>
      </c>
      <c r="M22">
        <v>80.260000000000005</v>
      </c>
      <c r="N22">
        <v>69.17</v>
      </c>
      <c r="O22">
        <v>84.09</v>
      </c>
      <c r="P22">
        <v>100.79</v>
      </c>
      <c r="Q22">
        <v>73.92</v>
      </c>
      <c r="R22">
        <v>91.4</v>
      </c>
      <c r="S22">
        <v>91.09</v>
      </c>
      <c r="T22">
        <v>88.27</v>
      </c>
      <c r="U22">
        <v>92.5</v>
      </c>
      <c r="V22">
        <v>90.77</v>
      </c>
      <c r="W22">
        <v>78.290000000000006</v>
      </c>
      <c r="X22">
        <v>65.790000000000006</v>
      </c>
      <c r="Y22">
        <v>86.72</v>
      </c>
      <c r="Z22">
        <v>97.42</v>
      </c>
      <c r="AB22">
        <v>23</v>
      </c>
      <c r="AC22">
        <v>965</v>
      </c>
      <c r="AD22">
        <v>39</v>
      </c>
      <c r="AE22">
        <v>22.72</v>
      </c>
    </row>
    <row r="23" spans="1:31" x14ac:dyDescent="0.25">
      <c r="A23" t="s">
        <v>68</v>
      </c>
      <c r="B23">
        <v>2.2799999999999998</v>
      </c>
      <c r="C23">
        <v>82.56</v>
      </c>
      <c r="D23">
        <v>95.35</v>
      </c>
      <c r="E23">
        <v>66.67</v>
      </c>
      <c r="F23">
        <v>94.08</v>
      </c>
      <c r="G23">
        <v>74.67</v>
      </c>
      <c r="H23">
        <v>75.72</v>
      </c>
      <c r="I23">
        <v>79.349999999999994</v>
      </c>
      <c r="J23">
        <v>101.12</v>
      </c>
      <c r="K23">
        <v>94.72</v>
      </c>
      <c r="L23">
        <v>67.11</v>
      </c>
      <c r="M23">
        <v>79.349999999999994</v>
      </c>
      <c r="N23">
        <v>68.87</v>
      </c>
      <c r="O23">
        <v>84.09</v>
      </c>
      <c r="P23">
        <v>100.79</v>
      </c>
      <c r="Q23">
        <v>73.180000000000007</v>
      </c>
      <c r="R23">
        <v>90.93</v>
      </c>
      <c r="S23">
        <v>90.77</v>
      </c>
      <c r="T23">
        <v>87.81</v>
      </c>
      <c r="U23">
        <v>92.35</v>
      </c>
      <c r="V23">
        <v>90.3</v>
      </c>
      <c r="W23">
        <v>78.290000000000006</v>
      </c>
      <c r="X23">
        <v>65.349999999999994</v>
      </c>
      <c r="Y23">
        <v>86.25</v>
      </c>
      <c r="Z23">
        <v>97.1</v>
      </c>
      <c r="AB23">
        <v>23</v>
      </c>
      <c r="AC23">
        <v>965</v>
      </c>
      <c r="AD23">
        <v>39</v>
      </c>
      <c r="AE23">
        <v>22.72</v>
      </c>
    </row>
    <row r="24" spans="1:31" x14ac:dyDescent="0.25">
      <c r="A24" t="s">
        <v>69</v>
      </c>
      <c r="B24">
        <v>2.5299999999999998</v>
      </c>
      <c r="C24">
        <v>82.25</v>
      </c>
      <c r="D24">
        <v>95.03</v>
      </c>
      <c r="E24">
        <v>66.52</v>
      </c>
      <c r="F24">
        <v>94.24</v>
      </c>
      <c r="G24">
        <v>74.819999999999993</v>
      </c>
      <c r="H24">
        <v>75.569999999999993</v>
      </c>
      <c r="I24">
        <v>78.739999999999995</v>
      </c>
      <c r="J24">
        <v>100.95</v>
      </c>
      <c r="K24">
        <v>95.03</v>
      </c>
      <c r="L24">
        <v>66.52</v>
      </c>
      <c r="M24">
        <v>78.44</v>
      </c>
      <c r="N24">
        <v>68.430000000000007</v>
      </c>
      <c r="O24">
        <v>83.48</v>
      </c>
      <c r="P24">
        <v>100.63</v>
      </c>
      <c r="Q24">
        <v>73.03</v>
      </c>
      <c r="R24">
        <v>90.46</v>
      </c>
      <c r="S24">
        <v>90.93</v>
      </c>
      <c r="T24">
        <v>87.5</v>
      </c>
      <c r="U24">
        <v>92.19</v>
      </c>
      <c r="V24">
        <v>89.68</v>
      </c>
      <c r="W24">
        <v>77.84</v>
      </c>
      <c r="X24">
        <v>65.349999999999994</v>
      </c>
      <c r="Y24">
        <v>85.79</v>
      </c>
      <c r="Z24">
        <v>96.94</v>
      </c>
      <c r="AB24">
        <v>23</v>
      </c>
      <c r="AC24">
        <v>965</v>
      </c>
      <c r="AD24">
        <v>39</v>
      </c>
      <c r="AE24">
        <v>22.73</v>
      </c>
    </row>
    <row r="25" spans="1:31" x14ac:dyDescent="0.25">
      <c r="A25" t="s">
        <v>70</v>
      </c>
      <c r="B25">
        <v>2.78</v>
      </c>
      <c r="C25">
        <v>82.4</v>
      </c>
      <c r="D25">
        <v>95.51</v>
      </c>
      <c r="E25">
        <v>66.08</v>
      </c>
      <c r="F25">
        <v>94.24</v>
      </c>
      <c r="G25">
        <v>74.37</v>
      </c>
      <c r="H25">
        <v>75.42</v>
      </c>
      <c r="I25">
        <v>79.05</v>
      </c>
      <c r="J25">
        <v>101.28</v>
      </c>
      <c r="K25">
        <v>94.72</v>
      </c>
      <c r="L25">
        <v>66.52</v>
      </c>
      <c r="M25">
        <v>78.290000000000006</v>
      </c>
      <c r="N25">
        <v>68.28</v>
      </c>
      <c r="O25">
        <v>83.63</v>
      </c>
      <c r="P25">
        <v>100.63</v>
      </c>
      <c r="Q25">
        <v>72.88</v>
      </c>
      <c r="R25">
        <v>90.62</v>
      </c>
      <c r="S25">
        <v>90.46</v>
      </c>
      <c r="T25">
        <v>87.81</v>
      </c>
      <c r="U25">
        <v>92.66</v>
      </c>
      <c r="V25">
        <v>89.99</v>
      </c>
      <c r="W25">
        <v>77.38</v>
      </c>
      <c r="X25">
        <v>64.91</v>
      </c>
      <c r="Y25">
        <v>85.63</v>
      </c>
      <c r="Z25">
        <v>96.62</v>
      </c>
      <c r="AB25">
        <v>23</v>
      </c>
      <c r="AC25">
        <v>965</v>
      </c>
      <c r="AD25">
        <v>39</v>
      </c>
      <c r="AE25">
        <v>22.73</v>
      </c>
    </row>
    <row r="26" spans="1:31" x14ac:dyDescent="0.25">
      <c r="A26" t="s">
        <v>71</v>
      </c>
      <c r="B26">
        <v>3.03</v>
      </c>
      <c r="C26">
        <v>82.1</v>
      </c>
      <c r="D26">
        <v>94.72</v>
      </c>
      <c r="E26">
        <v>65.790000000000006</v>
      </c>
      <c r="F26">
        <v>94.08</v>
      </c>
      <c r="G26">
        <v>74.37</v>
      </c>
      <c r="H26">
        <v>75.42</v>
      </c>
      <c r="I26">
        <v>78.59</v>
      </c>
      <c r="J26">
        <v>100.79</v>
      </c>
      <c r="K26">
        <v>94.72</v>
      </c>
      <c r="L26">
        <v>66.52</v>
      </c>
      <c r="M26">
        <v>77.680000000000007</v>
      </c>
      <c r="N26">
        <v>67.69</v>
      </c>
      <c r="O26">
        <v>83.32</v>
      </c>
      <c r="P26">
        <v>100.95</v>
      </c>
      <c r="Q26">
        <v>72.58</v>
      </c>
      <c r="R26">
        <v>90.3</v>
      </c>
      <c r="S26">
        <v>90.15</v>
      </c>
      <c r="T26">
        <v>87.18</v>
      </c>
      <c r="U26">
        <v>92.66</v>
      </c>
      <c r="V26">
        <v>89.68</v>
      </c>
      <c r="W26">
        <v>76.930000000000007</v>
      </c>
      <c r="X26">
        <v>64.62</v>
      </c>
      <c r="Y26">
        <v>85.17</v>
      </c>
      <c r="Z26">
        <v>97.1</v>
      </c>
      <c r="AB26">
        <v>23</v>
      </c>
      <c r="AC26">
        <v>965</v>
      </c>
      <c r="AD26">
        <v>39</v>
      </c>
      <c r="AE26">
        <v>22.74</v>
      </c>
    </row>
    <row r="27" spans="1:31" x14ac:dyDescent="0.25">
      <c r="A27" t="s">
        <v>72</v>
      </c>
      <c r="B27">
        <v>3.28</v>
      </c>
      <c r="C27">
        <v>82.1</v>
      </c>
      <c r="D27">
        <v>94.56</v>
      </c>
      <c r="E27">
        <v>65.64</v>
      </c>
      <c r="F27">
        <v>93.29</v>
      </c>
      <c r="G27">
        <v>74.52</v>
      </c>
      <c r="H27">
        <v>74.97</v>
      </c>
      <c r="I27">
        <v>78.290000000000006</v>
      </c>
      <c r="J27">
        <v>101.12</v>
      </c>
      <c r="K27">
        <v>94.56</v>
      </c>
      <c r="L27">
        <v>65.930000000000007</v>
      </c>
      <c r="M27">
        <v>76.63</v>
      </c>
      <c r="N27">
        <v>67.25</v>
      </c>
      <c r="O27">
        <v>83.48</v>
      </c>
      <c r="P27">
        <v>100.63</v>
      </c>
      <c r="Q27">
        <v>72.430000000000007</v>
      </c>
      <c r="R27">
        <v>90.3</v>
      </c>
      <c r="S27">
        <v>90.15</v>
      </c>
      <c r="T27">
        <v>87.18</v>
      </c>
      <c r="U27">
        <v>92.5</v>
      </c>
      <c r="V27">
        <v>89.83</v>
      </c>
      <c r="W27">
        <v>76.78</v>
      </c>
      <c r="X27">
        <v>64.760000000000005</v>
      </c>
      <c r="Y27">
        <v>84.86</v>
      </c>
      <c r="Z27">
        <v>97.26</v>
      </c>
      <c r="AB27">
        <v>23</v>
      </c>
      <c r="AC27">
        <v>965</v>
      </c>
      <c r="AD27">
        <v>39</v>
      </c>
      <c r="AE27">
        <v>22.74</v>
      </c>
    </row>
    <row r="28" spans="1:31" x14ac:dyDescent="0.25">
      <c r="A28" t="s">
        <v>73</v>
      </c>
      <c r="B28">
        <v>3.53</v>
      </c>
      <c r="C28">
        <v>81.790000000000006</v>
      </c>
      <c r="D28">
        <v>94.24</v>
      </c>
      <c r="E28">
        <v>64.760000000000005</v>
      </c>
      <c r="F28">
        <v>93.45</v>
      </c>
      <c r="G28">
        <v>74.22</v>
      </c>
      <c r="H28">
        <v>74.819999999999993</v>
      </c>
      <c r="I28">
        <v>78.14</v>
      </c>
      <c r="J28">
        <v>101.28</v>
      </c>
      <c r="K28">
        <v>94.56</v>
      </c>
      <c r="L28">
        <v>65.930000000000007</v>
      </c>
      <c r="M28">
        <v>76.17</v>
      </c>
      <c r="N28">
        <v>66.959999999999994</v>
      </c>
      <c r="O28">
        <v>83.48</v>
      </c>
      <c r="P28">
        <v>100.95</v>
      </c>
      <c r="Q28">
        <v>71.83</v>
      </c>
      <c r="R28">
        <v>89.83</v>
      </c>
      <c r="S28">
        <v>89.83</v>
      </c>
      <c r="T28">
        <v>87.03</v>
      </c>
      <c r="U28">
        <v>92.66</v>
      </c>
      <c r="V28">
        <v>89.21</v>
      </c>
      <c r="W28">
        <v>75.87</v>
      </c>
      <c r="X28">
        <v>64.62</v>
      </c>
      <c r="Y28">
        <v>84.4</v>
      </c>
      <c r="Z28">
        <v>96.62</v>
      </c>
      <c r="AB28">
        <v>23</v>
      </c>
      <c r="AC28">
        <v>965</v>
      </c>
      <c r="AD28">
        <v>39</v>
      </c>
      <c r="AE28">
        <v>22.75</v>
      </c>
    </row>
    <row r="29" spans="1:31" x14ac:dyDescent="0.25">
      <c r="A29" t="s">
        <v>74</v>
      </c>
      <c r="B29">
        <v>3.78</v>
      </c>
      <c r="C29">
        <v>82.1</v>
      </c>
      <c r="D29">
        <v>94.24</v>
      </c>
      <c r="E29">
        <v>64.760000000000005</v>
      </c>
      <c r="F29">
        <v>93.45</v>
      </c>
      <c r="G29">
        <v>74.069999999999993</v>
      </c>
      <c r="H29">
        <v>74.67</v>
      </c>
      <c r="I29">
        <v>77.84</v>
      </c>
      <c r="J29">
        <v>100.95</v>
      </c>
      <c r="K29">
        <v>94.56</v>
      </c>
      <c r="L29">
        <v>65.790000000000006</v>
      </c>
      <c r="M29">
        <v>75.569999999999993</v>
      </c>
      <c r="N29">
        <v>66.81</v>
      </c>
      <c r="O29">
        <v>83.17</v>
      </c>
      <c r="P29">
        <v>101.28</v>
      </c>
      <c r="Q29">
        <v>71.69</v>
      </c>
      <c r="R29">
        <v>89.83</v>
      </c>
      <c r="S29">
        <v>89.68</v>
      </c>
      <c r="T29">
        <v>87.03</v>
      </c>
      <c r="U29">
        <v>92.98</v>
      </c>
      <c r="V29">
        <v>89.05</v>
      </c>
      <c r="W29">
        <v>76.17</v>
      </c>
      <c r="X29">
        <v>64.33</v>
      </c>
      <c r="Y29">
        <v>84.09</v>
      </c>
      <c r="Z29">
        <v>96.78</v>
      </c>
      <c r="AB29">
        <v>23</v>
      </c>
      <c r="AC29">
        <v>965</v>
      </c>
      <c r="AD29">
        <v>39</v>
      </c>
      <c r="AE29">
        <v>22.75</v>
      </c>
    </row>
    <row r="30" spans="1:31" x14ac:dyDescent="0.25">
      <c r="A30" t="s">
        <v>75</v>
      </c>
      <c r="B30">
        <v>4.03</v>
      </c>
      <c r="C30">
        <v>81.790000000000006</v>
      </c>
      <c r="D30">
        <v>94.08</v>
      </c>
      <c r="E30">
        <v>64.33</v>
      </c>
      <c r="F30">
        <v>93.13</v>
      </c>
      <c r="G30">
        <v>73.77</v>
      </c>
      <c r="H30">
        <v>74.52</v>
      </c>
      <c r="I30">
        <v>77.53</v>
      </c>
      <c r="J30">
        <v>100.79</v>
      </c>
      <c r="K30">
        <v>94.72</v>
      </c>
      <c r="L30">
        <v>65.349999999999994</v>
      </c>
      <c r="M30">
        <v>74.97</v>
      </c>
      <c r="N30">
        <v>66.37</v>
      </c>
      <c r="O30">
        <v>83.02</v>
      </c>
      <c r="P30">
        <v>100.79</v>
      </c>
      <c r="Q30">
        <v>70.790000000000006</v>
      </c>
      <c r="R30">
        <v>89.52</v>
      </c>
      <c r="S30">
        <v>89.52</v>
      </c>
      <c r="T30">
        <v>86.41</v>
      </c>
      <c r="U30">
        <v>92.82</v>
      </c>
      <c r="V30">
        <v>88.74</v>
      </c>
      <c r="W30">
        <v>74.97</v>
      </c>
      <c r="X30">
        <v>64.180000000000007</v>
      </c>
      <c r="Y30">
        <v>83.32</v>
      </c>
      <c r="Z30">
        <v>96.47</v>
      </c>
      <c r="AB30">
        <v>23</v>
      </c>
      <c r="AC30">
        <v>965</v>
      </c>
      <c r="AD30">
        <v>39</v>
      </c>
      <c r="AE30">
        <v>22.75</v>
      </c>
    </row>
    <row r="31" spans="1:31" x14ac:dyDescent="0.25">
      <c r="A31" t="s">
        <v>76</v>
      </c>
      <c r="B31">
        <v>4.28</v>
      </c>
      <c r="C31">
        <v>81.33</v>
      </c>
      <c r="D31">
        <v>94.08</v>
      </c>
      <c r="E31">
        <v>64.040000000000006</v>
      </c>
      <c r="F31">
        <v>92.98</v>
      </c>
      <c r="G31">
        <v>73.77</v>
      </c>
      <c r="H31">
        <v>74.37</v>
      </c>
      <c r="I31">
        <v>77.08</v>
      </c>
      <c r="J31">
        <v>101.12</v>
      </c>
      <c r="K31">
        <v>94.56</v>
      </c>
      <c r="L31">
        <v>65.06</v>
      </c>
      <c r="M31">
        <v>74.67</v>
      </c>
      <c r="N31">
        <v>65.790000000000006</v>
      </c>
      <c r="O31">
        <v>82.86</v>
      </c>
      <c r="P31">
        <v>100.95</v>
      </c>
      <c r="Q31">
        <v>70.5</v>
      </c>
      <c r="R31">
        <v>89.05</v>
      </c>
      <c r="S31">
        <v>89.21</v>
      </c>
      <c r="T31">
        <v>86.1</v>
      </c>
      <c r="U31">
        <v>92.82</v>
      </c>
      <c r="V31">
        <v>88.9</v>
      </c>
      <c r="W31">
        <v>74.97</v>
      </c>
      <c r="X31">
        <v>64.040000000000006</v>
      </c>
      <c r="Y31">
        <v>83.02</v>
      </c>
      <c r="Z31">
        <v>96.62</v>
      </c>
      <c r="AB31">
        <v>23</v>
      </c>
      <c r="AC31">
        <v>965</v>
      </c>
      <c r="AD31">
        <v>39</v>
      </c>
      <c r="AE31">
        <v>22.77</v>
      </c>
    </row>
    <row r="32" spans="1:31" x14ac:dyDescent="0.25">
      <c r="A32" t="s">
        <v>77</v>
      </c>
      <c r="B32">
        <v>4.53</v>
      </c>
      <c r="C32">
        <v>81.48</v>
      </c>
      <c r="D32">
        <v>93.77</v>
      </c>
      <c r="E32">
        <v>63.75</v>
      </c>
      <c r="F32">
        <v>93.29</v>
      </c>
      <c r="G32">
        <v>73.92</v>
      </c>
      <c r="H32">
        <v>74.069999999999993</v>
      </c>
      <c r="I32">
        <v>76.78</v>
      </c>
      <c r="J32">
        <v>101.12</v>
      </c>
      <c r="K32">
        <v>94.88</v>
      </c>
      <c r="L32">
        <v>65.349999999999994</v>
      </c>
      <c r="M32">
        <v>74.37</v>
      </c>
      <c r="N32">
        <v>65.349999999999994</v>
      </c>
      <c r="O32">
        <v>83.17</v>
      </c>
      <c r="P32">
        <v>100.95</v>
      </c>
      <c r="Q32">
        <v>70.650000000000006</v>
      </c>
      <c r="R32">
        <v>88.9</v>
      </c>
      <c r="S32">
        <v>89.05</v>
      </c>
      <c r="T32">
        <v>86.25</v>
      </c>
      <c r="U32">
        <v>92.5</v>
      </c>
      <c r="V32">
        <v>88.9</v>
      </c>
      <c r="W32">
        <v>74.37</v>
      </c>
      <c r="X32">
        <v>63.75</v>
      </c>
      <c r="Y32">
        <v>82.86</v>
      </c>
      <c r="Z32">
        <v>96.31</v>
      </c>
      <c r="AB32">
        <v>23</v>
      </c>
      <c r="AC32">
        <v>965</v>
      </c>
      <c r="AD32">
        <v>39</v>
      </c>
      <c r="AE32">
        <v>22.77</v>
      </c>
    </row>
    <row r="33" spans="1:31" x14ac:dyDescent="0.25">
      <c r="A33" t="s">
        <v>78</v>
      </c>
      <c r="B33">
        <v>4.8</v>
      </c>
      <c r="C33">
        <v>81.03</v>
      </c>
      <c r="D33">
        <v>93.61</v>
      </c>
      <c r="E33">
        <v>63.16</v>
      </c>
      <c r="F33">
        <v>92.82</v>
      </c>
      <c r="G33">
        <v>73.180000000000007</v>
      </c>
      <c r="H33">
        <v>73.77</v>
      </c>
      <c r="I33">
        <v>76.63</v>
      </c>
      <c r="J33">
        <v>101.28</v>
      </c>
      <c r="K33">
        <v>94.72</v>
      </c>
      <c r="L33">
        <v>65.06</v>
      </c>
      <c r="M33">
        <v>73.47</v>
      </c>
      <c r="N33">
        <v>65.349999999999994</v>
      </c>
      <c r="O33">
        <v>82.86</v>
      </c>
      <c r="P33">
        <v>100.95</v>
      </c>
      <c r="Q33">
        <v>70.05</v>
      </c>
      <c r="R33">
        <v>89.05</v>
      </c>
      <c r="S33">
        <v>88.9</v>
      </c>
      <c r="T33">
        <v>85.94</v>
      </c>
      <c r="U33">
        <v>92.98</v>
      </c>
      <c r="V33">
        <v>88.12</v>
      </c>
      <c r="W33">
        <v>74.069999999999993</v>
      </c>
      <c r="X33">
        <v>63.75</v>
      </c>
      <c r="Y33">
        <v>81.94</v>
      </c>
      <c r="Z33">
        <v>96.62</v>
      </c>
      <c r="AB33">
        <v>23</v>
      </c>
      <c r="AC33">
        <v>965</v>
      </c>
      <c r="AD33">
        <v>39</v>
      </c>
      <c r="AE33">
        <v>22.77</v>
      </c>
    </row>
    <row r="34" spans="1:31" x14ac:dyDescent="0.25">
      <c r="A34" t="s">
        <v>79</v>
      </c>
      <c r="B34">
        <v>5.05</v>
      </c>
      <c r="C34">
        <v>81.33</v>
      </c>
      <c r="D34">
        <v>93.77</v>
      </c>
      <c r="E34">
        <v>63.02</v>
      </c>
      <c r="F34">
        <v>92.5</v>
      </c>
      <c r="G34">
        <v>73.47</v>
      </c>
      <c r="H34">
        <v>74.069999999999993</v>
      </c>
      <c r="I34">
        <v>76.33</v>
      </c>
      <c r="J34">
        <v>101.6</v>
      </c>
      <c r="K34">
        <v>94.56</v>
      </c>
      <c r="L34">
        <v>64.760000000000005</v>
      </c>
      <c r="M34">
        <v>73.33</v>
      </c>
      <c r="N34">
        <v>65.2</v>
      </c>
      <c r="O34">
        <v>82.71</v>
      </c>
      <c r="P34">
        <v>101.28</v>
      </c>
      <c r="Q34">
        <v>70.05</v>
      </c>
      <c r="R34">
        <v>88.43</v>
      </c>
      <c r="S34">
        <v>88.9</v>
      </c>
      <c r="T34">
        <v>85.94</v>
      </c>
      <c r="U34">
        <v>92.98</v>
      </c>
      <c r="V34">
        <v>88.12</v>
      </c>
      <c r="W34">
        <v>73.62</v>
      </c>
      <c r="X34">
        <v>63.75</v>
      </c>
      <c r="Y34">
        <v>81.790000000000006</v>
      </c>
      <c r="Z34">
        <v>96.94</v>
      </c>
      <c r="AB34">
        <v>23</v>
      </c>
      <c r="AC34">
        <v>965</v>
      </c>
      <c r="AD34">
        <v>39</v>
      </c>
      <c r="AE34">
        <v>22.79</v>
      </c>
    </row>
    <row r="35" spans="1:31" x14ac:dyDescent="0.25">
      <c r="A35" t="s">
        <v>80</v>
      </c>
      <c r="B35">
        <v>5.3</v>
      </c>
      <c r="C35">
        <v>81.03</v>
      </c>
      <c r="D35">
        <v>93.13</v>
      </c>
      <c r="E35">
        <v>62.44</v>
      </c>
      <c r="F35">
        <v>92.5</v>
      </c>
      <c r="G35">
        <v>73.33</v>
      </c>
      <c r="H35">
        <v>73.33</v>
      </c>
      <c r="I35">
        <v>76.02</v>
      </c>
      <c r="J35">
        <v>100.95</v>
      </c>
      <c r="K35">
        <v>94.72</v>
      </c>
      <c r="L35">
        <v>64.62</v>
      </c>
      <c r="M35">
        <v>72.88</v>
      </c>
      <c r="N35">
        <v>64.760000000000005</v>
      </c>
      <c r="O35">
        <v>82.4</v>
      </c>
      <c r="P35">
        <v>101.12</v>
      </c>
      <c r="Q35">
        <v>69.31</v>
      </c>
      <c r="R35">
        <v>88.12</v>
      </c>
      <c r="S35">
        <v>88.9</v>
      </c>
      <c r="T35">
        <v>85.17</v>
      </c>
      <c r="U35">
        <v>92.66</v>
      </c>
      <c r="V35">
        <v>88.27</v>
      </c>
      <c r="W35">
        <v>73.47</v>
      </c>
      <c r="X35">
        <v>63.16</v>
      </c>
      <c r="Y35">
        <v>81.48</v>
      </c>
      <c r="Z35">
        <v>97.1</v>
      </c>
      <c r="AB35">
        <v>23</v>
      </c>
      <c r="AC35">
        <v>965</v>
      </c>
      <c r="AD35">
        <v>39</v>
      </c>
      <c r="AE35">
        <v>22.79</v>
      </c>
    </row>
    <row r="36" spans="1:31" x14ac:dyDescent="0.25">
      <c r="A36" t="s">
        <v>81</v>
      </c>
      <c r="B36">
        <v>5.55</v>
      </c>
      <c r="C36">
        <v>81.03</v>
      </c>
      <c r="D36">
        <v>92.98</v>
      </c>
      <c r="E36">
        <v>62.44</v>
      </c>
      <c r="F36">
        <v>92.03</v>
      </c>
      <c r="G36">
        <v>73.180000000000007</v>
      </c>
      <c r="H36">
        <v>73.47</v>
      </c>
      <c r="I36">
        <v>75.72</v>
      </c>
      <c r="J36">
        <v>100.95</v>
      </c>
      <c r="K36">
        <v>94.88</v>
      </c>
      <c r="L36">
        <v>64.760000000000005</v>
      </c>
      <c r="M36">
        <v>72.430000000000007</v>
      </c>
      <c r="N36">
        <v>64.47</v>
      </c>
      <c r="O36">
        <v>82.4</v>
      </c>
      <c r="P36">
        <v>101.28</v>
      </c>
      <c r="Q36">
        <v>69.31</v>
      </c>
      <c r="R36">
        <v>88.58</v>
      </c>
      <c r="S36">
        <v>88.9</v>
      </c>
      <c r="T36">
        <v>84.86</v>
      </c>
      <c r="U36">
        <v>92.82</v>
      </c>
      <c r="V36">
        <v>87.96</v>
      </c>
      <c r="W36">
        <v>73.180000000000007</v>
      </c>
      <c r="X36">
        <v>63.16</v>
      </c>
      <c r="Y36">
        <v>80.87</v>
      </c>
      <c r="Z36">
        <v>96.62</v>
      </c>
      <c r="AB36">
        <v>23</v>
      </c>
      <c r="AC36">
        <v>965</v>
      </c>
      <c r="AD36">
        <v>39</v>
      </c>
      <c r="AE36">
        <v>22.81</v>
      </c>
    </row>
    <row r="37" spans="1:31" x14ac:dyDescent="0.25">
      <c r="A37" t="s">
        <v>82</v>
      </c>
      <c r="B37">
        <v>5.8</v>
      </c>
      <c r="C37">
        <v>80.72</v>
      </c>
      <c r="D37">
        <v>93.13</v>
      </c>
      <c r="E37">
        <v>61.86</v>
      </c>
      <c r="F37">
        <v>92.03</v>
      </c>
      <c r="G37">
        <v>73.03</v>
      </c>
      <c r="H37">
        <v>73.33</v>
      </c>
      <c r="I37">
        <v>75.42</v>
      </c>
      <c r="J37">
        <v>101.44</v>
      </c>
      <c r="K37">
        <v>94.88</v>
      </c>
      <c r="L37">
        <v>64.62</v>
      </c>
      <c r="M37">
        <v>72.28</v>
      </c>
      <c r="N37">
        <v>64.33</v>
      </c>
      <c r="O37">
        <v>82.4</v>
      </c>
      <c r="P37">
        <v>101.28</v>
      </c>
      <c r="Q37">
        <v>68.87</v>
      </c>
      <c r="R37">
        <v>88.43</v>
      </c>
      <c r="S37">
        <v>88.43</v>
      </c>
      <c r="T37">
        <v>85.02</v>
      </c>
      <c r="U37">
        <v>93.13</v>
      </c>
      <c r="V37">
        <v>88.12</v>
      </c>
      <c r="W37">
        <v>72.58</v>
      </c>
      <c r="X37">
        <v>63.02</v>
      </c>
      <c r="Y37">
        <v>80.260000000000005</v>
      </c>
      <c r="Z37">
        <v>96.78</v>
      </c>
      <c r="AB37">
        <v>23</v>
      </c>
      <c r="AC37">
        <v>965</v>
      </c>
      <c r="AD37">
        <v>39</v>
      </c>
      <c r="AE37">
        <v>22.81</v>
      </c>
    </row>
    <row r="38" spans="1:31" x14ac:dyDescent="0.25">
      <c r="A38" t="s">
        <v>83</v>
      </c>
      <c r="B38">
        <v>6.05</v>
      </c>
      <c r="C38">
        <v>80.72</v>
      </c>
      <c r="D38">
        <v>92.98</v>
      </c>
      <c r="E38">
        <v>62</v>
      </c>
      <c r="F38">
        <v>92.03</v>
      </c>
      <c r="G38">
        <v>72.88</v>
      </c>
      <c r="H38">
        <v>73.33</v>
      </c>
      <c r="I38">
        <v>75.27</v>
      </c>
      <c r="J38">
        <v>101.44</v>
      </c>
      <c r="K38">
        <v>94.88</v>
      </c>
      <c r="L38">
        <v>64.33</v>
      </c>
      <c r="M38">
        <v>71.98</v>
      </c>
      <c r="N38">
        <v>63.89</v>
      </c>
      <c r="O38">
        <v>82.56</v>
      </c>
      <c r="P38">
        <v>101.12</v>
      </c>
      <c r="Q38">
        <v>69.02</v>
      </c>
      <c r="R38">
        <v>88.12</v>
      </c>
      <c r="S38">
        <v>88.43</v>
      </c>
      <c r="T38">
        <v>84.71</v>
      </c>
      <c r="U38">
        <v>92.82</v>
      </c>
      <c r="V38">
        <v>87.96</v>
      </c>
      <c r="W38">
        <v>72.58</v>
      </c>
      <c r="X38">
        <v>62.58</v>
      </c>
      <c r="Y38">
        <v>79.81</v>
      </c>
      <c r="Z38">
        <v>96.94</v>
      </c>
      <c r="AB38">
        <v>23</v>
      </c>
      <c r="AC38">
        <v>965</v>
      </c>
      <c r="AD38">
        <v>39</v>
      </c>
      <c r="AE38">
        <v>22.81</v>
      </c>
    </row>
    <row r="39" spans="1:31" x14ac:dyDescent="0.25">
      <c r="A39" t="s">
        <v>84</v>
      </c>
      <c r="B39">
        <v>6.3</v>
      </c>
      <c r="C39">
        <v>80.42</v>
      </c>
      <c r="D39">
        <v>92.82</v>
      </c>
      <c r="E39">
        <v>61.43</v>
      </c>
      <c r="F39">
        <v>91.56</v>
      </c>
      <c r="G39">
        <v>72.73</v>
      </c>
      <c r="H39">
        <v>72.88</v>
      </c>
      <c r="I39">
        <v>75.12</v>
      </c>
      <c r="J39">
        <v>101.44</v>
      </c>
      <c r="K39">
        <v>94.4</v>
      </c>
      <c r="L39">
        <v>64.040000000000006</v>
      </c>
      <c r="M39">
        <v>71.239999999999995</v>
      </c>
      <c r="N39">
        <v>63.89</v>
      </c>
      <c r="O39">
        <v>82.1</v>
      </c>
      <c r="P39">
        <v>101.44</v>
      </c>
      <c r="Q39">
        <v>68.430000000000007</v>
      </c>
      <c r="R39">
        <v>88.12</v>
      </c>
      <c r="S39">
        <v>88.12</v>
      </c>
      <c r="T39">
        <v>84.55</v>
      </c>
      <c r="U39">
        <v>92.82</v>
      </c>
      <c r="V39">
        <v>87.96</v>
      </c>
      <c r="W39">
        <v>72.73</v>
      </c>
      <c r="X39">
        <v>62.58</v>
      </c>
      <c r="Y39">
        <v>79.349999999999994</v>
      </c>
      <c r="Z39">
        <v>97.1</v>
      </c>
      <c r="AB39">
        <v>23</v>
      </c>
      <c r="AC39">
        <v>965</v>
      </c>
      <c r="AD39">
        <v>39</v>
      </c>
      <c r="AE39">
        <v>22.81</v>
      </c>
    </row>
    <row r="40" spans="1:31" x14ac:dyDescent="0.25">
      <c r="A40" t="s">
        <v>85</v>
      </c>
      <c r="B40">
        <v>6.55</v>
      </c>
      <c r="C40">
        <v>80.260000000000005</v>
      </c>
      <c r="D40">
        <v>92.82</v>
      </c>
      <c r="E40">
        <v>61.28</v>
      </c>
      <c r="F40">
        <v>91.56</v>
      </c>
      <c r="G40">
        <v>72.13</v>
      </c>
      <c r="H40">
        <v>72.73</v>
      </c>
      <c r="I40">
        <v>74.819999999999993</v>
      </c>
      <c r="J40">
        <v>101.12</v>
      </c>
      <c r="K40">
        <v>94.72</v>
      </c>
      <c r="L40">
        <v>63.89</v>
      </c>
      <c r="M40">
        <v>70.94</v>
      </c>
      <c r="N40">
        <v>63.6</v>
      </c>
      <c r="O40">
        <v>81.94</v>
      </c>
      <c r="P40">
        <v>101.44</v>
      </c>
      <c r="Q40">
        <v>68.13</v>
      </c>
      <c r="R40">
        <v>87.81</v>
      </c>
      <c r="S40">
        <v>88.12</v>
      </c>
      <c r="T40">
        <v>84.4</v>
      </c>
      <c r="U40">
        <v>93.13</v>
      </c>
      <c r="V40">
        <v>87.65</v>
      </c>
      <c r="W40">
        <v>72.28</v>
      </c>
      <c r="X40">
        <v>62.58</v>
      </c>
      <c r="Y40">
        <v>79.2</v>
      </c>
      <c r="Z40">
        <v>96.47</v>
      </c>
      <c r="AB40">
        <v>23</v>
      </c>
      <c r="AC40">
        <v>965</v>
      </c>
      <c r="AD40">
        <v>39</v>
      </c>
      <c r="AE40">
        <v>22.83</v>
      </c>
    </row>
    <row r="41" spans="1:31" x14ac:dyDescent="0.25">
      <c r="A41" t="s">
        <v>86</v>
      </c>
      <c r="B41">
        <v>6.8</v>
      </c>
      <c r="C41">
        <v>80.260000000000005</v>
      </c>
      <c r="D41">
        <v>92.5</v>
      </c>
      <c r="E41">
        <v>60.7</v>
      </c>
      <c r="F41">
        <v>91.09</v>
      </c>
      <c r="G41">
        <v>72.28</v>
      </c>
      <c r="H41">
        <v>72.430000000000007</v>
      </c>
      <c r="I41">
        <v>75.12</v>
      </c>
      <c r="J41">
        <v>101.44</v>
      </c>
      <c r="K41">
        <v>95.03</v>
      </c>
      <c r="L41">
        <v>63.75</v>
      </c>
      <c r="M41">
        <v>70.790000000000006</v>
      </c>
      <c r="N41">
        <v>63.02</v>
      </c>
      <c r="O41">
        <v>81.790000000000006</v>
      </c>
      <c r="P41">
        <v>101.44</v>
      </c>
      <c r="Q41">
        <v>67.84</v>
      </c>
      <c r="R41">
        <v>87.5</v>
      </c>
      <c r="S41">
        <v>87.96</v>
      </c>
      <c r="T41">
        <v>83.78</v>
      </c>
      <c r="U41">
        <v>92.82</v>
      </c>
      <c r="V41">
        <v>87.34</v>
      </c>
      <c r="W41">
        <v>71.239999999999995</v>
      </c>
      <c r="X41">
        <v>62.15</v>
      </c>
      <c r="Y41">
        <v>78.59</v>
      </c>
      <c r="Z41">
        <v>96.62</v>
      </c>
      <c r="AB41">
        <v>23</v>
      </c>
      <c r="AC41">
        <v>965</v>
      </c>
      <c r="AD41">
        <v>39</v>
      </c>
      <c r="AE41">
        <v>22.84</v>
      </c>
    </row>
    <row r="42" spans="1:31" x14ac:dyDescent="0.25">
      <c r="A42" t="s">
        <v>87</v>
      </c>
      <c r="B42">
        <v>7.05</v>
      </c>
      <c r="C42">
        <v>80.260000000000005</v>
      </c>
      <c r="D42">
        <v>92.66</v>
      </c>
      <c r="E42">
        <v>60.7</v>
      </c>
      <c r="F42">
        <v>90.93</v>
      </c>
      <c r="G42">
        <v>72.430000000000007</v>
      </c>
      <c r="H42">
        <v>72.430000000000007</v>
      </c>
      <c r="I42">
        <v>74.67</v>
      </c>
      <c r="J42">
        <v>101.28</v>
      </c>
      <c r="K42">
        <v>94.88</v>
      </c>
      <c r="L42">
        <v>63.6</v>
      </c>
      <c r="M42">
        <v>70.2</v>
      </c>
      <c r="N42">
        <v>63.16</v>
      </c>
      <c r="O42">
        <v>81.790000000000006</v>
      </c>
      <c r="P42">
        <v>101.44</v>
      </c>
      <c r="Q42">
        <v>67.55</v>
      </c>
      <c r="R42">
        <v>87.65</v>
      </c>
      <c r="S42">
        <v>87.81</v>
      </c>
      <c r="T42">
        <v>83.94</v>
      </c>
      <c r="U42">
        <v>92.98</v>
      </c>
      <c r="V42">
        <v>87.5</v>
      </c>
      <c r="W42">
        <v>71.39</v>
      </c>
      <c r="X42">
        <v>62.15</v>
      </c>
      <c r="Y42">
        <v>78.290000000000006</v>
      </c>
      <c r="Z42">
        <v>96.78</v>
      </c>
      <c r="AB42">
        <v>23</v>
      </c>
      <c r="AC42">
        <v>965</v>
      </c>
      <c r="AD42">
        <v>39</v>
      </c>
      <c r="AE42">
        <v>22.83</v>
      </c>
    </row>
    <row r="43" spans="1:31" x14ac:dyDescent="0.25">
      <c r="A43" t="s">
        <v>88</v>
      </c>
      <c r="B43">
        <v>7.3</v>
      </c>
      <c r="C43">
        <v>79.81</v>
      </c>
      <c r="D43">
        <v>92.5</v>
      </c>
      <c r="E43">
        <v>60.42</v>
      </c>
      <c r="F43">
        <v>91.09</v>
      </c>
      <c r="G43">
        <v>72.430000000000007</v>
      </c>
      <c r="H43">
        <v>72.28</v>
      </c>
      <c r="I43">
        <v>74.52</v>
      </c>
      <c r="J43">
        <v>101.44</v>
      </c>
      <c r="K43">
        <v>94.88</v>
      </c>
      <c r="L43">
        <v>63.31</v>
      </c>
      <c r="M43">
        <v>69.91</v>
      </c>
      <c r="N43">
        <v>62.87</v>
      </c>
      <c r="O43">
        <v>81.790000000000006</v>
      </c>
      <c r="P43">
        <v>101.28</v>
      </c>
      <c r="Q43">
        <v>67.69</v>
      </c>
      <c r="R43">
        <v>87.34</v>
      </c>
      <c r="S43">
        <v>87.65</v>
      </c>
      <c r="T43">
        <v>83.63</v>
      </c>
      <c r="U43">
        <v>93.13</v>
      </c>
      <c r="V43">
        <v>87.34</v>
      </c>
      <c r="W43">
        <v>71.69</v>
      </c>
      <c r="X43">
        <v>62.15</v>
      </c>
      <c r="Y43">
        <v>77.989999999999995</v>
      </c>
      <c r="Z43">
        <v>96.78</v>
      </c>
      <c r="AB43">
        <v>23</v>
      </c>
      <c r="AC43">
        <v>965</v>
      </c>
      <c r="AD43">
        <v>39</v>
      </c>
      <c r="AE43">
        <v>22.84</v>
      </c>
    </row>
    <row r="44" spans="1:31" x14ac:dyDescent="0.25">
      <c r="A44" t="s">
        <v>89</v>
      </c>
      <c r="B44">
        <v>7.55</v>
      </c>
      <c r="C44">
        <v>79.81</v>
      </c>
      <c r="D44">
        <v>91.87</v>
      </c>
      <c r="E44">
        <v>60.13</v>
      </c>
      <c r="F44">
        <v>90.93</v>
      </c>
      <c r="G44">
        <v>72.13</v>
      </c>
      <c r="H44">
        <v>71.83</v>
      </c>
      <c r="I44">
        <v>74.069999999999993</v>
      </c>
      <c r="J44">
        <v>101.28</v>
      </c>
      <c r="K44">
        <v>94.72</v>
      </c>
      <c r="L44">
        <v>63.31</v>
      </c>
      <c r="M44">
        <v>69.91</v>
      </c>
      <c r="N44">
        <v>62.58</v>
      </c>
      <c r="O44">
        <v>81.790000000000006</v>
      </c>
      <c r="P44">
        <v>101.44</v>
      </c>
      <c r="Q44">
        <v>67.25</v>
      </c>
      <c r="R44">
        <v>86.87</v>
      </c>
      <c r="S44">
        <v>87.34</v>
      </c>
      <c r="T44">
        <v>83.48</v>
      </c>
      <c r="U44">
        <v>93.13</v>
      </c>
      <c r="V44">
        <v>86.72</v>
      </c>
      <c r="W44">
        <v>71.39</v>
      </c>
      <c r="X44">
        <v>61.72</v>
      </c>
      <c r="Y44">
        <v>77.84</v>
      </c>
      <c r="Z44">
        <v>96.62</v>
      </c>
      <c r="AB44">
        <v>23</v>
      </c>
      <c r="AC44">
        <v>965</v>
      </c>
      <c r="AD44">
        <v>39</v>
      </c>
      <c r="AE44">
        <v>22.86</v>
      </c>
    </row>
    <row r="45" spans="1:31" x14ac:dyDescent="0.25">
      <c r="A45" t="s">
        <v>90</v>
      </c>
      <c r="B45">
        <v>7.8</v>
      </c>
      <c r="C45">
        <v>79.5</v>
      </c>
      <c r="D45">
        <v>91.87</v>
      </c>
      <c r="E45">
        <v>59.84</v>
      </c>
      <c r="F45">
        <v>90.62</v>
      </c>
      <c r="G45">
        <v>71.98</v>
      </c>
      <c r="H45">
        <v>71.69</v>
      </c>
      <c r="I45">
        <v>73.77</v>
      </c>
      <c r="J45">
        <v>101.76</v>
      </c>
      <c r="K45">
        <v>95.19</v>
      </c>
      <c r="L45">
        <v>63.31</v>
      </c>
      <c r="M45">
        <v>69.61</v>
      </c>
      <c r="N45">
        <v>62.58</v>
      </c>
      <c r="O45">
        <v>81.94</v>
      </c>
      <c r="P45">
        <v>101.6</v>
      </c>
      <c r="Q45">
        <v>66.959999999999994</v>
      </c>
      <c r="R45">
        <v>87.18</v>
      </c>
      <c r="S45">
        <v>87.96</v>
      </c>
      <c r="T45">
        <v>83.32</v>
      </c>
      <c r="U45">
        <v>93.13</v>
      </c>
      <c r="V45">
        <v>87.03</v>
      </c>
      <c r="W45">
        <v>71.39</v>
      </c>
      <c r="X45">
        <v>61.57</v>
      </c>
      <c r="Y45">
        <v>77.680000000000007</v>
      </c>
      <c r="Z45">
        <v>96.78</v>
      </c>
      <c r="AB45">
        <v>23</v>
      </c>
      <c r="AC45">
        <v>965</v>
      </c>
      <c r="AD45">
        <v>39</v>
      </c>
      <c r="AE45">
        <v>22.84</v>
      </c>
    </row>
    <row r="46" spans="1:31" x14ac:dyDescent="0.25">
      <c r="A46" t="s">
        <v>91</v>
      </c>
      <c r="B46">
        <v>8.0500000000000007</v>
      </c>
      <c r="C46">
        <v>79.349999999999994</v>
      </c>
      <c r="D46">
        <v>91.87</v>
      </c>
      <c r="E46">
        <v>59.41</v>
      </c>
      <c r="F46">
        <v>90.3</v>
      </c>
      <c r="G46">
        <v>71.540000000000006</v>
      </c>
      <c r="H46">
        <v>71.540000000000006</v>
      </c>
      <c r="I46">
        <v>73.33</v>
      </c>
      <c r="J46">
        <v>101.44</v>
      </c>
      <c r="K46">
        <v>94.72</v>
      </c>
      <c r="L46">
        <v>63.02</v>
      </c>
      <c r="M46">
        <v>69.17</v>
      </c>
      <c r="N46">
        <v>62.15</v>
      </c>
      <c r="O46">
        <v>81.64</v>
      </c>
      <c r="P46">
        <v>101.6</v>
      </c>
      <c r="Q46">
        <v>66.67</v>
      </c>
      <c r="R46">
        <v>87.03</v>
      </c>
      <c r="S46">
        <v>87.18</v>
      </c>
      <c r="T46">
        <v>83.02</v>
      </c>
      <c r="U46">
        <v>93.29</v>
      </c>
      <c r="V46">
        <v>87.03</v>
      </c>
      <c r="W46">
        <v>71.239999999999995</v>
      </c>
      <c r="X46">
        <v>61.72</v>
      </c>
      <c r="Y46">
        <v>77.08</v>
      </c>
      <c r="Z46">
        <v>96.47</v>
      </c>
      <c r="AB46">
        <v>23</v>
      </c>
      <c r="AC46">
        <v>965</v>
      </c>
      <c r="AD46">
        <v>39</v>
      </c>
      <c r="AE46">
        <v>22.86</v>
      </c>
    </row>
    <row r="47" spans="1:31" x14ac:dyDescent="0.25">
      <c r="A47" t="s">
        <v>92</v>
      </c>
      <c r="B47">
        <v>8.3000000000000007</v>
      </c>
      <c r="C47">
        <v>79.2</v>
      </c>
      <c r="D47">
        <v>91.72</v>
      </c>
      <c r="E47">
        <v>59.27</v>
      </c>
      <c r="F47">
        <v>90.3</v>
      </c>
      <c r="G47">
        <v>71.540000000000006</v>
      </c>
      <c r="H47">
        <v>71.39</v>
      </c>
      <c r="I47">
        <v>73.180000000000007</v>
      </c>
      <c r="J47">
        <v>101.76</v>
      </c>
      <c r="K47">
        <v>95.03</v>
      </c>
      <c r="L47">
        <v>62.73</v>
      </c>
      <c r="M47">
        <v>68.72</v>
      </c>
      <c r="N47">
        <v>62.15</v>
      </c>
      <c r="O47">
        <v>81.180000000000007</v>
      </c>
      <c r="P47">
        <v>101.6</v>
      </c>
      <c r="Q47">
        <v>66.52</v>
      </c>
      <c r="R47">
        <v>86.87</v>
      </c>
      <c r="S47">
        <v>87.5</v>
      </c>
      <c r="T47">
        <v>82.71</v>
      </c>
      <c r="U47">
        <v>93.29</v>
      </c>
      <c r="V47">
        <v>86.72</v>
      </c>
      <c r="W47">
        <v>70.94</v>
      </c>
      <c r="X47">
        <v>61.57</v>
      </c>
      <c r="Y47">
        <v>77.23</v>
      </c>
      <c r="Z47">
        <v>96.62</v>
      </c>
      <c r="AB47">
        <v>23</v>
      </c>
      <c r="AC47">
        <v>965</v>
      </c>
      <c r="AD47">
        <v>39</v>
      </c>
      <c r="AE47">
        <v>22.86</v>
      </c>
    </row>
    <row r="48" spans="1:31" x14ac:dyDescent="0.25">
      <c r="A48" t="s">
        <v>93</v>
      </c>
      <c r="B48">
        <v>8.5500000000000007</v>
      </c>
      <c r="C48">
        <v>79.2</v>
      </c>
      <c r="D48">
        <v>91.87</v>
      </c>
      <c r="E48">
        <v>58.84</v>
      </c>
      <c r="F48">
        <v>90.15</v>
      </c>
      <c r="G48">
        <v>71.540000000000006</v>
      </c>
      <c r="H48">
        <v>71.09</v>
      </c>
      <c r="I48">
        <v>73.180000000000007</v>
      </c>
      <c r="J48">
        <v>101.28</v>
      </c>
      <c r="K48">
        <v>94.88</v>
      </c>
      <c r="L48">
        <v>62.44</v>
      </c>
      <c r="M48">
        <v>68.28</v>
      </c>
      <c r="N48">
        <v>61.86</v>
      </c>
      <c r="O48">
        <v>80.87</v>
      </c>
      <c r="P48">
        <v>101.44</v>
      </c>
      <c r="Q48">
        <v>66.52</v>
      </c>
      <c r="R48">
        <v>86.87</v>
      </c>
      <c r="S48">
        <v>87.18</v>
      </c>
      <c r="T48">
        <v>82.71</v>
      </c>
      <c r="U48">
        <v>93.29</v>
      </c>
      <c r="V48">
        <v>86.72</v>
      </c>
      <c r="W48">
        <v>71.09</v>
      </c>
      <c r="X48">
        <v>61.28</v>
      </c>
      <c r="Y48">
        <v>76.48</v>
      </c>
      <c r="Z48">
        <v>96.78</v>
      </c>
      <c r="AB48">
        <v>23</v>
      </c>
      <c r="AC48">
        <v>965</v>
      </c>
      <c r="AD48">
        <v>39</v>
      </c>
      <c r="AE48">
        <v>22.86</v>
      </c>
    </row>
    <row r="49" spans="1:31" x14ac:dyDescent="0.25">
      <c r="A49" t="s">
        <v>94</v>
      </c>
      <c r="B49">
        <v>8.8000000000000007</v>
      </c>
      <c r="C49">
        <v>78.739999999999995</v>
      </c>
      <c r="D49">
        <v>91.72</v>
      </c>
      <c r="E49">
        <v>58.69</v>
      </c>
      <c r="F49">
        <v>89.68</v>
      </c>
      <c r="G49">
        <v>71.09</v>
      </c>
      <c r="H49">
        <v>71.09</v>
      </c>
      <c r="I49">
        <v>72.88</v>
      </c>
      <c r="J49">
        <v>101.28</v>
      </c>
      <c r="K49">
        <v>95.19</v>
      </c>
      <c r="L49">
        <v>62.44</v>
      </c>
      <c r="M49">
        <v>68.13</v>
      </c>
      <c r="N49">
        <v>61.72</v>
      </c>
      <c r="O49">
        <v>81.180000000000007</v>
      </c>
      <c r="P49">
        <v>101.6</v>
      </c>
      <c r="Q49">
        <v>65.930000000000007</v>
      </c>
      <c r="R49">
        <v>86.41</v>
      </c>
      <c r="S49">
        <v>86.87</v>
      </c>
      <c r="T49">
        <v>82.56</v>
      </c>
      <c r="U49">
        <v>92.98</v>
      </c>
      <c r="V49">
        <v>86.56</v>
      </c>
      <c r="W49">
        <v>71.09</v>
      </c>
      <c r="X49">
        <v>61.14</v>
      </c>
      <c r="Y49">
        <v>76.33</v>
      </c>
      <c r="Z49">
        <v>96.62</v>
      </c>
      <c r="AB49">
        <v>23</v>
      </c>
      <c r="AC49">
        <v>965</v>
      </c>
      <c r="AD49">
        <v>39</v>
      </c>
      <c r="AE49">
        <v>22.88</v>
      </c>
    </row>
    <row r="50" spans="1:31" x14ac:dyDescent="0.25">
      <c r="A50" t="s">
        <v>95</v>
      </c>
      <c r="B50">
        <v>9.0500000000000007</v>
      </c>
      <c r="C50">
        <v>79.05</v>
      </c>
      <c r="D50">
        <v>91.56</v>
      </c>
      <c r="E50">
        <v>58.41</v>
      </c>
      <c r="F50">
        <v>89.52</v>
      </c>
      <c r="G50">
        <v>71.239999999999995</v>
      </c>
      <c r="H50">
        <v>70.94</v>
      </c>
      <c r="I50">
        <v>72.73</v>
      </c>
      <c r="J50">
        <v>101.6</v>
      </c>
      <c r="K50">
        <v>94.72</v>
      </c>
      <c r="L50">
        <v>62.44</v>
      </c>
      <c r="M50">
        <v>67.84</v>
      </c>
      <c r="N50">
        <v>61.57</v>
      </c>
      <c r="O50">
        <v>81.180000000000007</v>
      </c>
      <c r="P50">
        <v>101.76</v>
      </c>
      <c r="Q50">
        <v>65.930000000000007</v>
      </c>
      <c r="R50">
        <v>86.41</v>
      </c>
      <c r="S50">
        <v>86.72</v>
      </c>
      <c r="T50">
        <v>82.4</v>
      </c>
      <c r="U50">
        <v>93.45</v>
      </c>
      <c r="V50">
        <v>86.72</v>
      </c>
      <c r="W50">
        <v>71.69</v>
      </c>
      <c r="X50">
        <v>60.99</v>
      </c>
      <c r="Y50">
        <v>76.17</v>
      </c>
      <c r="Z50">
        <v>96.78</v>
      </c>
      <c r="AB50">
        <v>23</v>
      </c>
      <c r="AC50">
        <v>965</v>
      </c>
      <c r="AD50">
        <v>39</v>
      </c>
      <c r="AE50">
        <v>22.86</v>
      </c>
    </row>
    <row r="51" spans="1:31" x14ac:dyDescent="0.25">
      <c r="A51" t="s">
        <v>96</v>
      </c>
      <c r="B51">
        <v>9.3000000000000007</v>
      </c>
      <c r="C51">
        <v>78.900000000000006</v>
      </c>
      <c r="D51">
        <v>91.24</v>
      </c>
      <c r="E51">
        <v>58.12</v>
      </c>
      <c r="F51">
        <v>89.83</v>
      </c>
      <c r="G51">
        <v>71.239999999999995</v>
      </c>
      <c r="H51">
        <v>70.349999999999994</v>
      </c>
      <c r="I51">
        <v>72.430000000000007</v>
      </c>
      <c r="J51">
        <v>101.76</v>
      </c>
      <c r="K51">
        <v>95.19</v>
      </c>
      <c r="L51">
        <v>62.29</v>
      </c>
      <c r="M51">
        <v>67.55</v>
      </c>
      <c r="N51">
        <v>61.57</v>
      </c>
      <c r="O51">
        <v>81.180000000000007</v>
      </c>
      <c r="P51">
        <v>101.76</v>
      </c>
      <c r="Q51">
        <v>65.930000000000007</v>
      </c>
      <c r="R51">
        <v>86.56</v>
      </c>
      <c r="S51">
        <v>86.72</v>
      </c>
      <c r="T51">
        <v>82.25</v>
      </c>
      <c r="U51">
        <v>93.13</v>
      </c>
      <c r="V51">
        <v>86.72</v>
      </c>
      <c r="W51">
        <v>71.39</v>
      </c>
      <c r="X51">
        <v>60.7</v>
      </c>
      <c r="Y51">
        <v>76.33</v>
      </c>
      <c r="Z51">
        <v>96.94</v>
      </c>
      <c r="AB51">
        <v>23</v>
      </c>
      <c r="AC51">
        <v>965</v>
      </c>
      <c r="AD51">
        <v>39</v>
      </c>
      <c r="AE51">
        <v>22.86</v>
      </c>
    </row>
    <row r="52" spans="1:31" x14ac:dyDescent="0.25">
      <c r="A52" t="s">
        <v>97</v>
      </c>
      <c r="B52">
        <v>9.5500000000000007</v>
      </c>
      <c r="C52">
        <v>78.59</v>
      </c>
      <c r="D52">
        <v>91.24</v>
      </c>
      <c r="E52">
        <v>57.4</v>
      </c>
      <c r="F52">
        <v>89.68</v>
      </c>
      <c r="G52">
        <v>71.09</v>
      </c>
      <c r="H52">
        <v>70.349999999999994</v>
      </c>
      <c r="I52">
        <v>72.13</v>
      </c>
      <c r="J52">
        <v>101.28</v>
      </c>
      <c r="K52">
        <v>95.03</v>
      </c>
      <c r="L52">
        <v>62.15</v>
      </c>
      <c r="M52">
        <v>66.52</v>
      </c>
      <c r="N52">
        <v>61.28</v>
      </c>
      <c r="O52">
        <v>81.03</v>
      </c>
      <c r="P52">
        <v>101.76</v>
      </c>
      <c r="Q52">
        <v>65.790000000000006</v>
      </c>
      <c r="R52">
        <v>85.94</v>
      </c>
      <c r="S52">
        <v>87.03</v>
      </c>
      <c r="T52">
        <v>81.790000000000006</v>
      </c>
      <c r="U52">
        <v>93.45</v>
      </c>
      <c r="V52">
        <v>86.25</v>
      </c>
      <c r="W52">
        <v>71.39</v>
      </c>
      <c r="X52">
        <v>60.13</v>
      </c>
      <c r="Y52">
        <v>75.42</v>
      </c>
      <c r="Z52">
        <v>96.31</v>
      </c>
      <c r="AB52">
        <v>23</v>
      </c>
      <c r="AC52">
        <v>965</v>
      </c>
      <c r="AD52">
        <v>39</v>
      </c>
      <c r="AE52">
        <v>22.88</v>
      </c>
    </row>
    <row r="53" spans="1:31" x14ac:dyDescent="0.25">
      <c r="A53" t="s">
        <v>98</v>
      </c>
      <c r="B53">
        <v>9.8000000000000007</v>
      </c>
      <c r="C53">
        <v>78.59</v>
      </c>
      <c r="D53">
        <v>91.24</v>
      </c>
      <c r="E53">
        <v>57.55</v>
      </c>
      <c r="F53">
        <v>89.05</v>
      </c>
      <c r="G53">
        <v>70.94</v>
      </c>
      <c r="H53">
        <v>69.91</v>
      </c>
      <c r="I53">
        <v>71.83</v>
      </c>
      <c r="J53">
        <v>101.44</v>
      </c>
      <c r="K53">
        <v>94.72</v>
      </c>
      <c r="L53">
        <v>62.29</v>
      </c>
      <c r="M53">
        <v>66.52</v>
      </c>
      <c r="N53">
        <v>61.28</v>
      </c>
      <c r="O53">
        <v>81.03</v>
      </c>
      <c r="P53">
        <v>101.6</v>
      </c>
      <c r="Q53">
        <v>65.64</v>
      </c>
      <c r="R53">
        <v>86.1</v>
      </c>
      <c r="S53">
        <v>86.41</v>
      </c>
      <c r="T53">
        <v>81.64</v>
      </c>
      <c r="U53">
        <v>93.45</v>
      </c>
      <c r="V53">
        <v>85.94</v>
      </c>
      <c r="W53">
        <v>71.98</v>
      </c>
      <c r="X53">
        <v>60.27</v>
      </c>
      <c r="Y53">
        <v>75.72</v>
      </c>
      <c r="Z53">
        <v>96.62</v>
      </c>
      <c r="AB53">
        <v>23</v>
      </c>
      <c r="AC53">
        <v>965</v>
      </c>
      <c r="AD53">
        <v>39</v>
      </c>
      <c r="AE53">
        <v>22.88</v>
      </c>
    </row>
    <row r="54" spans="1:31" x14ac:dyDescent="0.25">
      <c r="A54" t="s">
        <v>99</v>
      </c>
      <c r="B54">
        <v>10.050000000000001</v>
      </c>
      <c r="C54">
        <v>78.44</v>
      </c>
      <c r="D54">
        <v>91.09</v>
      </c>
      <c r="E54">
        <v>57.55</v>
      </c>
      <c r="F54">
        <v>88.74</v>
      </c>
      <c r="G54">
        <v>70.790000000000006</v>
      </c>
      <c r="H54">
        <v>70.05</v>
      </c>
      <c r="I54">
        <v>71.69</v>
      </c>
      <c r="J54">
        <v>101.44</v>
      </c>
      <c r="K54">
        <v>95.03</v>
      </c>
      <c r="L54">
        <v>62.29</v>
      </c>
      <c r="M54">
        <v>66.08</v>
      </c>
      <c r="N54">
        <v>61.14</v>
      </c>
      <c r="O54">
        <v>81.03</v>
      </c>
      <c r="P54">
        <v>101.76</v>
      </c>
      <c r="Q54">
        <v>65.2</v>
      </c>
      <c r="R54">
        <v>86.1</v>
      </c>
      <c r="S54">
        <v>86.56</v>
      </c>
      <c r="T54">
        <v>81.33</v>
      </c>
      <c r="U54">
        <v>92.82</v>
      </c>
      <c r="V54">
        <v>86.25</v>
      </c>
      <c r="W54">
        <v>72.73</v>
      </c>
      <c r="X54">
        <v>59.98</v>
      </c>
      <c r="Y54">
        <v>75.569999999999993</v>
      </c>
      <c r="Z54">
        <v>96.31</v>
      </c>
      <c r="AB54">
        <v>23</v>
      </c>
      <c r="AC54">
        <v>965</v>
      </c>
      <c r="AD54">
        <v>39</v>
      </c>
      <c r="AE54">
        <v>22.9</v>
      </c>
    </row>
    <row r="55" spans="1:31" x14ac:dyDescent="0.25">
      <c r="A55" t="s">
        <v>100</v>
      </c>
      <c r="B55">
        <v>10.3</v>
      </c>
      <c r="C55">
        <v>78.290000000000006</v>
      </c>
      <c r="D55">
        <v>90.93</v>
      </c>
      <c r="E55">
        <v>56.98</v>
      </c>
      <c r="F55">
        <v>88.74</v>
      </c>
      <c r="G55">
        <v>70.5</v>
      </c>
      <c r="H55">
        <v>69.760000000000005</v>
      </c>
      <c r="I55">
        <v>71.239999999999995</v>
      </c>
      <c r="J55">
        <v>101.12</v>
      </c>
      <c r="K55">
        <v>94.88</v>
      </c>
      <c r="L55">
        <v>62</v>
      </c>
      <c r="M55">
        <v>65.64</v>
      </c>
      <c r="N55">
        <v>60.7</v>
      </c>
      <c r="O55">
        <v>80.72</v>
      </c>
      <c r="P55">
        <v>101.76</v>
      </c>
      <c r="Q55">
        <v>65.489999999999995</v>
      </c>
      <c r="R55">
        <v>85.79</v>
      </c>
      <c r="S55">
        <v>86.1</v>
      </c>
      <c r="T55">
        <v>81.03</v>
      </c>
      <c r="U55">
        <v>93.13</v>
      </c>
      <c r="V55">
        <v>86.25</v>
      </c>
      <c r="W55">
        <v>72.73</v>
      </c>
      <c r="X55">
        <v>60.13</v>
      </c>
      <c r="Y55">
        <v>75.42</v>
      </c>
      <c r="Z55">
        <v>96.47</v>
      </c>
      <c r="AB55">
        <v>23</v>
      </c>
      <c r="AC55">
        <v>965</v>
      </c>
      <c r="AD55">
        <v>39</v>
      </c>
      <c r="AE55">
        <v>22.9</v>
      </c>
    </row>
    <row r="56" spans="1:31" x14ac:dyDescent="0.25">
      <c r="A56" t="s">
        <v>101</v>
      </c>
      <c r="B56">
        <v>10.55</v>
      </c>
      <c r="C56">
        <v>78.14</v>
      </c>
      <c r="D56">
        <v>90.77</v>
      </c>
      <c r="E56">
        <v>56.98</v>
      </c>
      <c r="F56">
        <v>88.58</v>
      </c>
      <c r="G56">
        <v>70.2</v>
      </c>
      <c r="H56">
        <v>69.459999999999994</v>
      </c>
      <c r="I56">
        <v>71.239999999999995</v>
      </c>
      <c r="J56">
        <v>101.44</v>
      </c>
      <c r="K56">
        <v>94.88</v>
      </c>
      <c r="L56">
        <v>62</v>
      </c>
      <c r="M56">
        <v>65.06</v>
      </c>
      <c r="N56">
        <v>60.27</v>
      </c>
      <c r="O56">
        <v>80.72</v>
      </c>
      <c r="P56">
        <v>101.76</v>
      </c>
      <c r="Q56">
        <v>65.349999999999994</v>
      </c>
      <c r="R56">
        <v>85.63</v>
      </c>
      <c r="S56">
        <v>86.25</v>
      </c>
      <c r="T56">
        <v>81.33</v>
      </c>
      <c r="U56">
        <v>93.61</v>
      </c>
      <c r="V56">
        <v>85.94</v>
      </c>
      <c r="W56">
        <v>73.03</v>
      </c>
      <c r="X56">
        <v>59.84</v>
      </c>
      <c r="Y56">
        <v>75.42</v>
      </c>
      <c r="Z56">
        <v>96.47</v>
      </c>
      <c r="AB56">
        <v>23</v>
      </c>
      <c r="AC56">
        <v>965</v>
      </c>
      <c r="AD56">
        <v>39</v>
      </c>
      <c r="AE56">
        <v>22.9</v>
      </c>
    </row>
    <row r="57" spans="1:31" x14ac:dyDescent="0.25">
      <c r="A57" t="s">
        <v>102</v>
      </c>
      <c r="B57">
        <v>10.8</v>
      </c>
      <c r="C57">
        <v>77.989999999999995</v>
      </c>
      <c r="D57">
        <v>90.62</v>
      </c>
      <c r="E57">
        <v>56.41</v>
      </c>
      <c r="F57">
        <v>88.27</v>
      </c>
      <c r="G57">
        <v>70.650000000000006</v>
      </c>
      <c r="H57">
        <v>69.459999999999994</v>
      </c>
      <c r="I57">
        <v>70.650000000000006</v>
      </c>
      <c r="J57">
        <v>101.12</v>
      </c>
      <c r="K57">
        <v>94.72</v>
      </c>
      <c r="L57">
        <v>62.44</v>
      </c>
      <c r="M57">
        <v>64.47</v>
      </c>
      <c r="N57">
        <v>60.27</v>
      </c>
      <c r="O57">
        <v>80.72</v>
      </c>
      <c r="P57">
        <v>101.92</v>
      </c>
      <c r="Q57">
        <v>65.349999999999994</v>
      </c>
      <c r="R57">
        <v>85.63</v>
      </c>
      <c r="S57">
        <v>85.94</v>
      </c>
      <c r="T57">
        <v>81.03</v>
      </c>
      <c r="U57">
        <v>93.29</v>
      </c>
      <c r="V57">
        <v>86.1</v>
      </c>
      <c r="W57">
        <v>73.92</v>
      </c>
      <c r="X57">
        <v>59.7</v>
      </c>
      <c r="Y57">
        <v>75.27</v>
      </c>
      <c r="Z57">
        <v>96.62</v>
      </c>
      <c r="AB57">
        <v>23</v>
      </c>
      <c r="AC57">
        <v>965</v>
      </c>
      <c r="AD57">
        <v>39</v>
      </c>
      <c r="AE57">
        <v>22.91</v>
      </c>
    </row>
    <row r="58" spans="1:31" x14ac:dyDescent="0.25">
      <c r="A58" t="s">
        <v>103</v>
      </c>
      <c r="B58">
        <v>11.05</v>
      </c>
      <c r="C58">
        <v>77.680000000000007</v>
      </c>
      <c r="D58">
        <v>90.93</v>
      </c>
      <c r="E58">
        <v>56.26</v>
      </c>
      <c r="F58">
        <v>88.43</v>
      </c>
      <c r="G58">
        <v>70.2</v>
      </c>
      <c r="H58">
        <v>69.459999999999994</v>
      </c>
      <c r="I58">
        <v>70.790000000000006</v>
      </c>
      <c r="J58">
        <v>101.12</v>
      </c>
      <c r="K58">
        <v>95.03</v>
      </c>
      <c r="L58">
        <v>62.29</v>
      </c>
      <c r="M58">
        <v>64.62</v>
      </c>
      <c r="N58">
        <v>60.13</v>
      </c>
      <c r="O58">
        <v>80.42</v>
      </c>
      <c r="P58">
        <v>101.76</v>
      </c>
      <c r="Q58">
        <v>65.349999999999994</v>
      </c>
      <c r="R58">
        <v>85.63</v>
      </c>
      <c r="S58">
        <v>86.1</v>
      </c>
      <c r="T58">
        <v>80.72</v>
      </c>
      <c r="U58">
        <v>93.45</v>
      </c>
      <c r="V58">
        <v>85.63</v>
      </c>
      <c r="W58">
        <v>74.069999999999993</v>
      </c>
      <c r="X58">
        <v>59.98</v>
      </c>
      <c r="Y58">
        <v>75.27</v>
      </c>
      <c r="Z58">
        <v>96.31</v>
      </c>
      <c r="AB58">
        <v>23</v>
      </c>
      <c r="AC58">
        <v>965</v>
      </c>
      <c r="AD58">
        <v>39</v>
      </c>
      <c r="AE58">
        <v>22.91</v>
      </c>
    </row>
    <row r="59" spans="1:31" x14ac:dyDescent="0.25">
      <c r="A59" t="s">
        <v>104</v>
      </c>
      <c r="B59">
        <v>11.3</v>
      </c>
      <c r="C59">
        <v>77.989999999999995</v>
      </c>
      <c r="D59">
        <v>90.46</v>
      </c>
      <c r="E59">
        <v>56.26</v>
      </c>
      <c r="F59">
        <v>88.27</v>
      </c>
      <c r="G59">
        <v>70.349999999999994</v>
      </c>
      <c r="H59">
        <v>69.17</v>
      </c>
      <c r="I59">
        <v>70.790000000000006</v>
      </c>
      <c r="J59">
        <v>101.92</v>
      </c>
      <c r="K59">
        <v>95.03</v>
      </c>
      <c r="L59">
        <v>61.57</v>
      </c>
      <c r="M59">
        <v>64.33</v>
      </c>
      <c r="N59">
        <v>60.13</v>
      </c>
      <c r="O59">
        <v>80.569999999999993</v>
      </c>
      <c r="P59">
        <v>101.76</v>
      </c>
      <c r="Q59">
        <v>65.64</v>
      </c>
      <c r="R59">
        <v>85.63</v>
      </c>
      <c r="S59">
        <v>85.94</v>
      </c>
      <c r="T59">
        <v>80.72</v>
      </c>
      <c r="U59">
        <v>93.29</v>
      </c>
      <c r="V59">
        <v>86.1</v>
      </c>
      <c r="W59">
        <v>74.37</v>
      </c>
      <c r="X59">
        <v>59.98</v>
      </c>
      <c r="Y59">
        <v>75.42</v>
      </c>
      <c r="Z59">
        <v>96.78</v>
      </c>
      <c r="AB59">
        <v>23</v>
      </c>
      <c r="AC59">
        <v>965</v>
      </c>
      <c r="AD59">
        <v>39</v>
      </c>
      <c r="AE59">
        <v>22.92</v>
      </c>
    </row>
    <row r="60" spans="1:31" x14ac:dyDescent="0.25">
      <c r="A60" t="s">
        <v>105</v>
      </c>
      <c r="B60">
        <v>11.55</v>
      </c>
      <c r="C60">
        <v>77.53</v>
      </c>
      <c r="D60">
        <v>90.46</v>
      </c>
      <c r="E60">
        <v>56.26</v>
      </c>
      <c r="F60">
        <v>88.12</v>
      </c>
      <c r="G60">
        <v>69.61</v>
      </c>
      <c r="H60">
        <v>69.02</v>
      </c>
      <c r="I60">
        <v>70.650000000000006</v>
      </c>
      <c r="J60">
        <v>101.28</v>
      </c>
      <c r="K60">
        <v>95.03</v>
      </c>
      <c r="L60">
        <v>61.72</v>
      </c>
      <c r="M60">
        <v>64.040000000000006</v>
      </c>
      <c r="N60">
        <v>59.98</v>
      </c>
      <c r="O60">
        <v>80.72</v>
      </c>
      <c r="P60">
        <v>101.92</v>
      </c>
      <c r="Q60">
        <v>65.489999999999995</v>
      </c>
      <c r="R60">
        <v>85.17</v>
      </c>
      <c r="S60">
        <v>85.79</v>
      </c>
      <c r="T60">
        <v>80.260000000000005</v>
      </c>
      <c r="U60">
        <v>93.29</v>
      </c>
      <c r="V60">
        <v>85.63</v>
      </c>
      <c r="W60">
        <v>74.819999999999993</v>
      </c>
      <c r="X60">
        <v>59.55</v>
      </c>
      <c r="Y60">
        <v>75.12</v>
      </c>
      <c r="Z60">
        <v>96.62</v>
      </c>
      <c r="AB60">
        <v>23</v>
      </c>
      <c r="AC60">
        <v>965</v>
      </c>
      <c r="AD60">
        <v>39</v>
      </c>
      <c r="AE60">
        <v>22.92</v>
      </c>
    </row>
    <row r="61" spans="1:31" x14ac:dyDescent="0.25">
      <c r="A61" t="s">
        <v>106</v>
      </c>
      <c r="B61">
        <v>11.8</v>
      </c>
      <c r="C61">
        <v>77.53</v>
      </c>
      <c r="D61">
        <v>90.3</v>
      </c>
      <c r="E61">
        <v>55.55</v>
      </c>
      <c r="F61">
        <v>87.81</v>
      </c>
      <c r="G61">
        <v>69.91</v>
      </c>
      <c r="H61">
        <v>68.87</v>
      </c>
      <c r="I61">
        <v>70.2</v>
      </c>
      <c r="J61">
        <v>101.28</v>
      </c>
      <c r="K61">
        <v>94.88</v>
      </c>
      <c r="L61">
        <v>61.86</v>
      </c>
      <c r="M61">
        <v>63.6</v>
      </c>
      <c r="N61">
        <v>59.84</v>
      </c>
      <c r="O61">
        <v>80.42</v>
      </c>
      <c r="P61">
        <v>101.6</v>
      </c>
      <c r="Q61">
        <v>65.64</v>
      </c>
      <c r="R61">
        <v>85.17</v>
      </c>
      <c r="S61">
        <v>85.63</v>
      </c>
      <c r="T61">
        <v>80.11</v>
      </c>
      <c r="U61">
        <v>93.13</v>
      </c>
      <c r="V61">
        <v>85.79</v>
      </c>
      <c r="W61">
        <v>75.27</v>
      </c>
      <c r="X61">
        <v>59.41</v>
      </c>
      <c r="Y61">
        <v>74.819999999999993</v>
      </c>
      <c r="Z61">
        <v>96.47</v>
      </c>
      <c r="AB61">
        <v>23</v>
      </c>
      <c r="AC61">
        <v>965</v>
      </c>
      <c r="AD61">
        <v>39</v>
      </c>
      <c r="AE61">
        <v>22.92</v>
      </c>
    </row>
    <row r="62" spans="1:31" x14ac:dyDescent="0.25">
      <c r="A62" t="s">
        <v>107</v>
      </c>
      <c r="B62">
        <v>12.05</v>
      </c>
      <c r="C62">
        <v>77.23</v>
      </c>
      <c r="D62">
        <v>90.15</v>
      </c>
      <c r="E62">
        <v>55.84</v>
      </c>
      <c r="F62">
        <v>87.65</v>
      </c>
      <c r="G62">
        <v>69.760000000000005</v>
      </c>
      <c r="H62">
        <v>68.72</v>
      </c>
      <c r="I62">
        <v>69.61</v>
      </c>
      <c r="J62">
        <v>101.44</v>
      </c>
      <c r="K62">
        <v>95.03</v>
      </c>
      <c r="L62">
        <v>61.86</v>
      </c>
      <c r="M62">
        <v>63.31</v>
      </c>
      <c r="N62">
        <v>59.55</v>
      </c>
      <c r="O62">
        <v>80.42</v>
      </c>
      <c r="P62">
        <v>102.09</v>
      </c>
      <c r="Q62">
        <v>65.930000000000007</v>
      </c>
      <c r="R62">
        <v>85.33</v>
      </c>
      <c r="S62">
        <v>85.63</v>
      </c>
      <c r="T62">
        <v>80.11</v>
      </c>
      <c r="U62">
        <v>93.45</v>
      </c>
      <c r="V62">
        <v>85.48</v>
      </c>
      <c r="W62">
        <v>76.02</v>
      </c>
      <c r="X62">
        <v>59.12</v>
      </c>
      <c r="Y62">
        <v>74.97</v>
      </c>
      <c r="Z62">
        <v>96.31</v>
      </c>
      <c r="AB62">
        <v>23</v>
      </c>
      <c r="AC62">
        <v>965</v>
      </c>
      <c r="AD62">
        <v>39</v>
      </c>
      <c r="AE62">
        <v>22.92</v>
      </c>
    </row>
    <row r="63" spans="1:31" x14ac:dyDescent="0.25">
      <c r="A63" t="s">
        <v>108</v>
      </c>
      <c r="B63">
        <v>12.32</v>
      </c>
      <c r="C63">
        <v>77.23</v>
      </c>
      <c r="D63">
        <v>90.3</v>
      </c>
      <c r="E63">
        <v>55.27</v>
      </c>
      <c r="F63">
        <v>87.65</v>
      </c>
      <c r="G63">
        <v>69.91</v>
      </c>
      <c r="H63">
        <v>68.28</v>
      </c>
      <c r="I63">
        <v>69.91</v>
      </c>
      <c r="J63">
        <v>101.76</v>
      </c>
      <c r="K63">
        <v>95.03</v>
      </c>
      <c r="L63">
        <v>62</v>
      </c>
      <c r="M63">
        <v>63.16</v>
      </c>
      <c r="N63">
        <v>59.7</v>
      </c>
      <c r="O63">
        <v>80.260000000000005</v>
      </c>
      <c r="P63">
        <v>101.92</v>
      </c>
      <c r="Q63">
        <v>65.64</v>
      </c>
      <c r="R63">
        <v>84.86</v>
      </c>
      <c r="S63">
        <v>85.48</v>
      </c>
      <c r="T63">
        <v>79.959999999999994</v>
      </c>
      <c r="U63">
        <v>93.29</v>
      </c>
      <c r="V63">
        <v>85.63</v>
      </c>
      <c r="W63">
        <v>75.87</v>
      </c>
      <c r="X63">
        <v>59.41</v>
      </c>
      <c r="Y63">
        <v>74.37</v>
      </c>
      <c r="Z63">
        <v>96.62</v>
      </c>
      <c r="AB63">
        <v>23</v>
      </c>
      <c r="AC63">
        <v>965</v>
      </c>
      <c r="AD63">
        <v>39</v>
      </c>
      <c r="AE63">
        <v>22.93</v>
      </c>
    </row>
    <row r="64" spans="1:31" x14ac:dyDescent="0.25">
      <c r="A64" t="s">
        <v>109</v>
      </c>
      <c r="B64">
        <v>12.57</v>
      </c>
      <c r="C64">
        <v>77.08</v>
      </c>
      <c r="D64">
        <v>90.3</v>
      </c>
      <c r="E64">
        <v>54.7</v>
      </c>
      <c r="F64">
        <v>87.34</v>
      </c>
      <c r="G64">
        <v>69.31</v>
      </c>
      <c r="H64">
        <v>68.13</v>
      </c>
      <c r="I64">
        <v>69.459999999999994</v>
      </c>
      <c r="J64">
        <v>101.28</v>
      </c>
      <c r="K64">
        <v>95.03</v>
      </c>
      <c r="L64">
        <v>62.15</v>
      </c>
      <c r="M64">
        <v>63.31</v>
      </c>
      <c r="N64">
        <v>59.55</v>
      </c>
      <c r="O64">
        <v>80.11</v>
      </c>
      <c r="P64">
        <v>101.76</v>
      </c>
      <c r="Q64">
        <v>65.930000000000007</v>
      </c>
      <c r="R64">
        <v>84.71</v>
      </c>
      <c r="S64">
        <v>85.48</v>
      </c>
      <c r="T64">
        <v>79.959999999999994</v>
      </c>
      <c r="U64">
        <v>93.61</v>
      </c>
      <c r="V64">
        <v>85.63</v>
      </c>
      <c r="W64">
        <v>76.48</v>
      </c>
      <c r="X64">
        <v>58.98</v>
      </c>
      <c r="Y64">
        <v>74.819999999999993</v>
      </c>
      <c r="Z64">
        <v>96.47</v>
      </c>
      <c r="AB64">
        <v>23</v>
      </c>
      <c r="AC64">
        <v>965</v>
      </c>
      <c r="AD64">
        <v>39</v>
      </c>
      <c r="AE64">
        <v>22.92</v>
      </c>
    </row>
    <row r="65" spans="1:31" x14ac:dyDescent="0.25">
      <c r="A65" t="s">
        <v>110</v>
      </c>
      <c r="B65">
        <v>12.82</v>
      </c>
      <c r="C65">
        <v>76.78</v>
      </c>
      <c r="D65">
        <v>90.15</v>
      </c>
      <c r="E65">
        <v>54.84</v>
      </c>
      <c r="F65">
        <v>87.03</v>
      </c>
      <c r="G65">
        <v>69.31</v>
      </c>
      <c r="H65">
        <v>67.84</v>
      </c>
      <c r="I65">
        <v>68.87</v>
      </c>
      <c r="J65">
        <v>101.44</v>
      </c>
      <c r="K65">
        <v>94.72</v>
      </c>
      <c r="L65">
        <v>62.29</v>
      </c>
      <c r="M65">
        <v>62.87</v>
      </c>
      <c r="N65">
        <v>58.98</v>
      </c>
      <c r="O65">
        <v>80.260000000000005</v>
      </c>
      <c r="P65">
        <v>101.92</v>
      </c>
      <c r="Q65">
        <v>65.349999999999994</v>
      </c>
      <c r="R65">
        <v>85.02</v>
      </c>
      <c r="S65">
        <v>85.33</v>
      </c>
      <c r="T65">
        <v>79.66</v>
      </c>
      <c r="U65">
        <v>93.45</v>
      </c>
      <c r="V65">
        <v>85.33</v>
      </c>
      <c r="W65">
        <v>76.78</v>
      </c>
      <c r="X65">
        <v>59.12</v>
      </c>
      <c r="Y65">
        <v>74.22</v>
      </c>
      <c r="Z65">
        <v>96.62</v>
      </c>
      <c r="AB65">
        <v>23</v>
      </c>
      <c r="AC65">
        <v>965</v>
      </c>
      <c r="AD65">
        <v>39</v>
      </c>
      <c r="AE65">
        <v>22.93</v>
      </c>
    </row>
    <row r="66" spans="1:31" x14ac:dyDescent="0.25">
      <c r="A66" t="s">
        <v>111</v>
      </c>
      <c r="B66">
        <v>13.07</v>
      </c>
      <c r="C66">
        <v>76.78</v>
      </c>
      <c r="D66">
        <v>89.99</v>
      </c>
      <c r="E66">
        <v>54.84</v>
      </c>
      <c r="F66">
        <v>86.87</v>
      </c>
      <c r="G66">
        <v>69.31</v>
      </c>
      <c r="H66">
        <v>67.989999999999995</v>
      </c>
      <c r="I66">
        <v>68.72</v>
      </c>
      <c r="J66">
        <v>101.76</v>
      </c>
      <c r="K66">
        <v>95.03</v>
      </c>
      <c r="L66">
        <v>62.73</v>
      </c>
      <c r="M66">
        <v>62.44</v>
      </c>
      <c r="N66">
        <v>59.12</v>
      </c>
      <c r="O66">
        <v>79.81</v>
      </c>
      <c r="P66">
        <v>101.6</v>
      </c>
      <c r="Q66">
        <v>65.930000000000007</v>
      </c>
      <c r="R66">
        <v>84.86</v>
      </c>
      <c r="S66">
        <v>85.17</v>
      </c>
      <c r="T66">
        <v>79.349999999999994</v>
      </c>
      <c r="U66">
        <v>93.45</v>
      </c>
      <c r="V66">
        <v>85.33</v>
      </c>
      <c r="W66">
        <v>77.680000000000007</v>
      </c>
      <c r="X66">
        <v>58.98</v>
      </c>
      <c r="Y66">
        <v>74.22</v>
      </c>
      <c r="Z66">
        <v>96.62</v>
      </c>
      <c r="AB66">
        <v>23</v>
      </c>
      <c r="AC66">
        <v>965</v>
      </c>
      <c r="AD66">
        <v>39</v>
      </c>
      <c r="AE66">
        <v>22.93</v>
      </c>
    </row>
    <row r="67" spans="1:31" x14ac:dyDescent="0.25">
      <c r="A67" t="s">
        <v>112</v>
      </c>
      <c r="B67">
        <v>13.32</v>
      </c>
      <c r="C67">
        <v>76.930000000000007</v>
      </c>
      <c r="D67">
        <v>89.99</v>
      </c>
      <c r="E67">
        <v>54.28</v>
      </c>
      <c r="F67">
        <v>86.56</v>
      </c>
      <c r="G67">
        <v>69.31</v>
      </c>
      <c r="H67">
        <v>67.84</v>
      </c>
      <c r="I67">
        <v>68.58</v>
      </c>
      <c r="J67">
        <v>101.76</v>
      </c>
      <c r="K67">
        <v>95.19</v>
      </c>
      <c r="L67">
        <v>63.16</v>
      </c>
      <c r="M67">
        <v>62</v>
      </c>
      <c r="N67">
        <v>59.27</v>
      </c>
      <c r="O67">
        <v>80.260000000000005</v>
      </c>
      <c r="P67">
        <v>102.09</v>
      </c>
      <c r="Q67">
        <v>65.790000000000006</v>
      </c>
      <c r="R67">
        <v>84.86</v>
      </c>
      <c r="S67">
        <v>85.02</v>
      </c>
      <c r="T67">
        <v>79.5</v>
      </c>
      <c r="U67">
        <v>93.29</v>
      </c>
      <c r="V67">
        <v>85.17</v>
      </c>
      <c r="W67">
        <v>77.53</v>
      </c>
      <c r="X67">
        <v>58.55</v>
      </c>
      <c r="Y67">
        <v>74.22</v>
      </c>
      <c r="Z67">
        <v>96.31</v>
      </c>
      <c r="AB67">
        <v>23</v>
      </c>
      <c r="AC67">
        <v>965</v>
      </c>
      <c r="AD67">
        <v>39</v>
      </c>
      <c r="AE67">
        <v>22.95</v>
      </c>
    </row>
    <row r="68" spans="1:31" x14ac:dyDescent="0.25">
      <c r="A68" t="s">
        <v>113</v>
      </c>
      <c r="B68">
        <v>13.57</v>
      </c>
      <c r="C68">
        <v>76.48</v>
      </c>
      <c r="D68">
        <v>89.99</v>
      </c>
      <c r="E68">
        <v>53.99</v>
      </c>
      <c r="F68">
        <v>86.41</v>
      </c>
      <c r="G68">
        <v>69.31</v>
      </c>
      <c r="H68">
        <v>67.84</v>
      </c>
      <c r="I68">
        <v>68.430000000000007</v>
      </c>
      <c r="J68">
        <v>101.6</v>
      </c>
      <c r="K68">
        <v>94.88</v>
      </c>
      <c r="L68">
        <v>63.16</v>
      </c>
      <c r="M68">
        <v>62.15</v>
      </c>
      <c r="N68">
        <v>58.84</v>
      </c>
      <c r="O68">
        <v>79.959999999999994</v>
      </c>
      <c r="P68">
        <v>101.76</v>
      </c>
      <c r="Q68">
        <v>65.930000000000007</v>
      </c>
      <c r="R68">
        <v>84.55</v>
      </c>
      <c r="S68">
        <v>84.71</v>
      </c>
      <c r="T68">
        <v>79.349999999999994</v>
      </c>
      <c r="U68">
        <v>93.61</v>
      </c>
      <c r="V68">
        <v>85.33</v>
      </c>
      <c r="W68">
        <v>77.989999999999995</v>
      </c>
      <c r="X68">
        <v>58.26</v>
      </c>
      <c r="Y68">
        <v>73.92</v>
      </c>
      <c r="Z68">
        <v>96.62</v>
      </c>
      <c r="AB68">
        <v>23</v>
      </c>
      <c r="AC68">
        <v>965</v>
      </c>
      <c r="AD68">
        <v>39</v>
      </c>
      <c r="AE68">
        <v>22.95</v>
      </c>
    </row>
    <row r="69" spans="1:31" x14ac:dyDescent="0.25">
      <c r="A69" t="s">
        <v>114</v>
      </c>
      <c r="B69">
        <v>13.82</v>
      </c>
      <c r="C69">
        <v>76.33</v>
      </c>
      <c r="D69">
        <v>90.15</v>
      </c>
      <c r="E69">
        <v>53.85</v>
      </c>
      <c r="F69">
        <v>86.25</v>
      </c>
      <c r="G69">
        <v>69.02</v>
      </c>
      <c r="H69">
        <v>67.55</v>
      </c>
      <c r="I69">
        <v>68.58</v>
      </c>
      <c r="J69">
        <v>101.6</v>
      </c>
      <c r="K69">
        <v>95.03</v>
      </c>
      <c r="L69">
        <v>63.02</v>
      </c>
      <c r="M69">
        <v>61.86</v>
      </c>
      <c r="N69">
        <v>58.98</v>
      </c>
      <c r="O69">
        <v>79.959999999999994</v>
      </c>
      <c r="P69">
        <v>102.25</v>
      </c>
      <c r="Q69">
        <v>66.52</v>
      </c>
      <c r="R69">
        <v>84.71</v>
      </c>
      <c r="S69">
        <v>84.86</v>
      </c>
      <c r="T69">
        <v>79.05</v>
      </c>
      <c r="U69">
        <v>93.61</v>
      </c>
      <c r="V69">
        <v>84.86</v>
      </c>
      <c r="W69">
        <v>78.14</v>
      </c>
      <c r="X69">
        <v>58.41</v>
      </c>
      <c r="Y69">
        <v>73.62</v>
      </c>
      <c r="Z69">
        <v>96.94</v>
      </c>
      <c r="AB69">
        <v>23</v>
      </c>
      <c r="AC69">
        <v>965</v>
      </c>
      <c r="AD69">
        <v>39</v>
      </c>
      <c r="AE69">
        <v>22.93</v>
      </c>
    </row>
    <row r="70" spans="1:31" x14ac:dyDescent="0.25">
      <c r="A70" t="s">
        <v>115</v>
      </c>
      <c r="B70">
        <v>14.07</v>
      </c>
      <c r="C70">
        <v>76.33</v>
      </c>
      <c r="D70">
        <v>89.99</v>
      </c>
      <c r="E70">
        <v>53.85</v>
      </c>
      <c r="F70">
        <v>86.56</v>
      </c>
      <c r="G70">
        <v>69.17</v>
      </c>
      <c r="H70">
        <v>67.69</v>
      </c>
      <c r="I70">
        <v>68.13</v>
      </c>
      <c r="J70">
        <v>101.76</v>
      </c>
      <c r="K70">
        <v>95.03</v>
      </c>
      <c r="L70">
        <v>63.6</v>
      </c>
      <c r="M70">
        <v>61.72</v>
      </c>
      <c r="N70">
        <v>58.55</v>
      </c>
      <c r="O70">
        <v>79.959999999999994</v>
      </c>
      <c r="P70">
        <v>101.92</v>
      </c>
      <c r="Q70">
        <v>66.52</v>
      </c>
      <c r="R70">
        <v>84.4</v>
      </c>
      <c r="S70">
        <v>85.02</v>
      </c>
      <c r="T70">
        <v>79.2</v>
      </c>
      <c r="U70">
        <v>93.61</v>
      </c>
      <c r="V70">
        <v>85.17</v>
      </c>
      <c r="W70">
        <v>78.290000000000006</v>
      </c>
      <c r="X70">
        <v>58.41</v>
      </c>
      <c r="Y70">
        <v>73.92</v>
      </c>
      <c r="Z70">
        <v>96.62</v>
      </c>
      <c r="AB70">
        <v>23</v>
      </c>
      <c r="AC70">
        <v>965</v>
      </c>
      <c r="AD70">
        <v>39</v>
      </c>
      <c r="AE70">
        <v>22.95</v>
      </c>
    </row>
    <row r="71" spans="1:31" x14ac:dyDescent="0.25">
      <c r="A71" t="s">
        <v>116</v>
      </c>
      <c r="B71">
        <v>14.32</v>
      </c>
      <c r="C71">
        <v>76.48</v>
      </c>
      <c r="D71">
        <v>89.83</v>
      </c>
      <c r="E71">
        <v>53.43</v>
      </c>
      <c r="F71">
        <v>86.25</v>
      </c>
      <c r="G71">
        <v>69.31</v>
      </c>
      <c r="H71">
        <v>67.25</v>
      </c>
      <c r="I71">
        <v>67.989999999999995</v>
      </c>
      <c r="J71">
        <v>101.76</v>
      </c>
      <c r="K71">
        <v>95.19</v>
      </c>
      <c r="L71">
        <v>63.89</v>
      </c>
      <c r="M71">
        <v>61.43</v>
      </c>
      <c r="N71">
        <v>58.69</v>
      </c>
      <c r="O71">
        <v>79.81</v>
      </c>
      <c r="P71">
        <v>102.41</v>
      </c>
      <c r="Q71">
        <v>66.81</v>
      </c>
      <c r="R71">
        <v>84.25</v>
      </c>
      <c r="S71">
        <v>84.86</v>
      </c>
      <c r="T71">
        <v>79.05</v>
      </c>
      <c r="U71">
        <v>93.29</v>
      </c>
      <c r="V71">
        <v>85.02</v>
      </c>
      <c r="W71">
        <v>78.290000000000006</v>
      </c>
      <c r="X71">
        <v>58.26</v>
      </c>
      <c r="Y71">
        <v>73.77</v>
      </c>
      <c r="Z71">
        <v>96.62</v>
      </c>
      <c r="AB71">
        <v>23</v>
      </c>
      <c r="AC71">
        <v>965</v>
      </c>
      <c r="AD71">
        <v>39</v>
      </c>
      <c r="AE71">
        <v>22.95</v>
      </c>
    </row>
    <row r="72" spans="1:31" x14ac:dyDescent="0.25">
      <c r="A72" t="s">
        <v>117</v>
      </c>
      <c r="B72">
        <v>14.57</v>
      </c>
      <c r="C72">
        <v>75.87</v>
      </c>
      <c r="D72">
        <v>89.37</v>
      </c>
      <c r="E72">
        <v>53</v>
      </c>
      <c r="F72">
        <v>85.94</v>
      </c>
      <c r="G72">
        <v>69.17</v>
      </c>
      <c r="H72">
        <v>67.25</v>
      </c>
      <c r="I72">
        <v>67.69</v>
      </c>
      <c r="J72">
        <v>101.6</v>
      </c>
      <c r="K72">
        <v>94.88</v>
      </c>
      <c r="L72">
        <v>63.89</v>
      </c>
      <c r="M72">
        <v>61.14</v>
      </c>
      <c r="N72">
        <v>58.55</v>
      </c>
      <c r="O72">
        <v>79.5</v>
      </c>
      <c r="P72">
        <v>102.25</v>
      </c>
      <c r="Q72">
        <v>66.959999999999994</v>
      </c>
      <c r="R72">
        <v>84.4</v>
      </c>
      <c r="S72">
        <v>84.55</v>
      </c>
      <c r="T72">
        <v>79.05</v>
      </c>
      <c r="U72">
        <v>93.45</v>
      </c>
      <c r="V72">
        <v>84.71</v>
      </c>
      <c r="W72">
        <v>79.5</v>
      </c>
      <c r="X72">
        <v>58.12</v>
      </c>
      <c r="Y72">
        <v>73.77</v>
      </c>
      <c r="Z72">
        <v>96.47</v>
      </c>
      <c r="AB72">
        <v>23</v>
      </c>
      <c r="AC72">
        <v>965</v>
      </c>
      <c r="AD72">
        <v>39</v>
      </c>
      <c r="AE72">
        <v>22.95</v>
      </c>
    </row>
    <row r="73" spans="1:31" x14ac:dyDescent="0.25">
      <c r="A73" t="s">
        <v>118</v>
      </c>
      <c r="B73">
        <v>14.82</v>
      </c>
      <c r="C73">
        <v>76.02</v>
      </c>
      <c r="D73">
        <v>89.68</v>
      </c>
      <c r="E73">
        <v>53</v>
      </c>
      <c r="F73">
        <v>85.94</v>
      </c>
      <c r="G73">
        <v>68.87</v>
      </c>
      <c r="H73">
        <v>67.55</v>
      </c>
      <c r="I73">
        <v>67.69</v>
      </c>
      <c r="J73">
        <v>101.76</v>
      </c>
      <c r="K73">
        <v>95.19</v>
      </c>
      <c r="L73">
        <v>64.180000000000007</v>
      </c>
      <c r="M73">
        <v>60.85</v>
      </c>
      <c r="N73">
        <v>58.41</v>
      </c>
      <c r="O73">
        <v>79.66</v>
      </c>
      <c r="P73">
        <v>102.41</v>
      </c>
      <c r="Q73">
        <v>66.67</v>
      </c>
      <c r="R73">
        <v>84.09</v>
      </c>
      <c r="S73">
        <v>84.71</v>
      </c>
      <c r="T73">
        <v>79.05</v>
      </c>
      <c r="U73">
        <v>93.29</v>
      </c>
      <c r="V73">
        <v>85.02</v>
      </c>
      <c r="W73">
        <v>78.900000000000006</v>
      </c>
      <c r="X73">
        <v>57.98</v>
      </c>
      <c r="Y73">
        <v>73.62</v>
      </c>
      <c r="Z73">
        <v>96.47</v>
      </c>
      <c r="AB73">
        <v>23</v>
      </c>
      <c r="AC73">
        <v>965</v>
      </c>
      <c r="AD73">
        <v>39</v>
      </c>
      <c r="AE73">
        <v>22.95</v>
      </c>
    </row>
    <row r="74" spans="1:31" x14ac:dyDescent="0.25">
      <c r="A74" t="s">
        <v>119</v>
      </c>
      <c r="B74">
        <v>15.07</v>
      </c>
      <c r="C74">
        <v>75.569999999999993</v>
      </c>
      <c r="D74">
        <v>89.68</v>
      </c>
      <c r="E74">
        <v>52.86</v>
      </c>
      <c r="F74">
        <v>85.48</v>
      </c>
      <c r="G74">
        <v>69.17</v>
      </c>
      <c r="H74">
        <v>67.11</v>
      </c>
      <c r="I74">
        <v>67.69</v>
      </c>
      <c r="J74">
        <v>101.76</v>
      </c>
      <c r="K74">
        <v>95.03</v>
      </c>
      <c r="L74">
        <v>64.760000000000005</v>
      </c>
      <c r="M74">
        <v>60.7</v>
      </c>
      <c r="N74">
        <v>58.26</v>
      </c>
      <c r="O74">
        <v>79.5</v>
      </c>
      <c r="P74">
        <v>101.76</v>
      </c>
      <c r="Q74">
        <v>66.959999999999994</v>
      </c>
      <c r="R74">
        <v>83.78</v>
      </c>
      <c r="S74">
        <v>84.71</v>
      </c>
      <c r="T74">
        <v>79.05</v>
      </c>
      <c r="U74">
        <v>93.77</v>
      </c>
      <c r="V74">
        <v>84.71</v>
      </c>
      <c r="W74">
        <v>79.349999999999994</v>
      </c>
      <c r="X74">
        <v>58.12</v>
      </c>
      <c r="Y74">
        <v>73.62</v>
      </c>
      <c r="Z74">
        <v>96.62</v>
      </c>
      <c r="AB74">
        <v>23</v>
      </c>
      <c r="AC74">
        <v>965</v>
      </c>
      <c r="AD74">
        <v>39</v>
      </c>
      <c r="AE74">
        <v>22.97</v>
      </c>
    </row>
    <row r="75" spans="1:31" x14ac:dyDescent="0.25">
      <c r="A75" t="s">
        <v>120</v>
      </c>
      <c r="B75">
        <v>15.32</v>
      </c>
      <c r="C75">
        <v>75.569999999999993</v>
      </c>
      <c r="D75">
        <v>89.21</v>
      </c>
      <c r="E75">
        <v>52.44</v>
      </c>
      <c r="F75">
        <v>85.48</v>
      </c>
      <c r="G75">
        <v>69.17</v>
      </c>
      <c r="H75">
        <v>67.11</v>
      </c>
      <c r="I75">
        <v>66.959999999999994</v>
      </c>
      <c r="J75">
        <v>101.76</v>
      </c>
      <c r="K75">
        <v>95.35</v>
      </c>
      <c r="L75">
        <v>65.06</v>
      </c>
      <c r="M75">
        <v>60.13</v>
      </c>
      <c r="N75">
        <v>58.41</v>
      </c>
      <c r="O75">
        <v>79.5</v>
      </c>
      <c r="P75">
        <v>102.25</v>
      </c>
      <c r="Q75">
        <v>67.400000000000006</v>
      </c>
      <c r="R75">
        <v>84.25</v>
      </c>
      <c r="S75">
        <v>84.4</v>
      </c>
      <c r="T75">
        <v>79.05</v>
      </c>
      <c r="U75">
        <v>93.61</v>
      </c>
      <c r="V75">
        <v>84.71</v>
      </c>
      <c r="W75">
        <v>79.2</v>
      </c>
      <c r="X75">
        <v>58.12</v>
      </c>
      <c r="Y75">
        <v>73.33</v>
      </c>
      <c r="Z75">
        <v>96.78</v>
      </c>
      <c r="AB75">
        <v>23</v>
      </c>
      <c r="AC75">
        <v>965</v>
      </c>
      <c r="AD75">
        <v>39</v>
      </c>
      <c r="AE75">
        <v>22.98</v>
      </c>
    </row>
    <row r="76" spans="1:31" x14ac:dyDescent="0.25">
      <c r="A76" t="s">
        <v>121</v>
      </c>
      <c r="B76">
        <v>15.57</v>
      </c>
      <c r="C76">
        <v>75.42</v>
      </c>
      <c r="D76">
        <v>89.52</v>
      </c>
      <c r="E76">
        <v>52.16</v>
      </c>
      <c r="F76">
        <v>85.33</v>
      </c>
      <c r="G76">
        <v>69.02</v>
      </c>
      <c r="H76">
        <v>67.11</v>
      </c>
      <c r="I76">
        <v>66.81</v>
      </c>
      <c r="J76">
        <v>101.44</v>
      </c>
      <c r="K76">
        <v>95.19</v>
      </c>
      <c r="L76">
        <v>65.2</v>
      </c>
      <c r="M76">
        <v>59.98</v>
      </c>
      <c r="N76">
        <v>57.98</v>
      </c>
      <c r="O76">
        <v>79.2</v>
      </c>
      <c r="P76">
        <v>101.92</v>
      </c>
      <c r="Q76">
        <v>67.11</v>
      </c>
      <c r="R76">
        <v>84.25</v>
      </c>
      <c r="S76">
        <v>84.09</v>
      </c>
      <c r="T76">
        <v>78.900000000000006</v>
      </c>
      <c r="U76">
        <v>93.61</v>
      </c>
      <c r="V76">
        <v>84.86</v>
      </c>
      <c r="W76">
        <v>79.5</v>
      </c>
      <c r="X76">
        <v>57.69</v>
      </c>
      <c r="Y76">
        <v>73.47</v>
      </c>
      <c r="Z76">
        <v>96.31</v>
      </c>
      <c r="AB76">
        <v>23</v>
      </c>
      <c r="AC76">
        <v>965</v>
      </c>
      <c r="AD76">
        <v>39</v>
      </c>
      <c r="AE76">
        <v>22.97</v>
      </c>
    </row>
    <row r="77" spans="1:31" x14ac:dyDescent="0.25">
      <c r="A77" t="s">
        <v>122</v>
      </c>
      <c r="B77">
        <v>15.82</v>
      </c>
      <c r="C77">
        <v>75.27</v>
      </c>
      <c r="D77">
        <v>89.21</v>
      </c>
      <c r="E77">
        <v>52.3</v>
      </c>
      <c r="F77">
        <v>85.17</v>
      </c>
      <c r="G77">
        <v>69.31</v>
      </c>
      <c r="H77">
        <v>67.25</v>
      </c>
      <c r="I77">
        <v>66.37</v>
      </c>
      <c r="J77">
        <v>101.92</v>
      </c>
      <c r="K77">
        <v>95.35</v>
      </c>
      <c r="L77">
        <v>65.06</v>
      </c>
      <c r="M77">
        <v>60.13</v>
      </c>
      <c r="N77">
        <v>57.98</v>
      </c>
      <c r="O77">
        <v>79.5</v>
      </c>
      <c r="P77">
        <v>102.25</v>
      </c>
      <c r="Q77">
        <v>67.400000000000006</v>
      </c>
      <c r="R77">
        <v>83.78</v>
      </c>
      <c r="S77">
        <v>84.55</v>
      </c>
      <c r="T77">
        <v>79.05</v>
      </c>
      <c r="U77">
        <v>93.77</v>
      </c>
      <c r="V77">
        <v>84.25</v>
      </c>
      <c r="W77">
        <v>79.66</v>
      </c>
      <c r="X77">
        <v>57.55</v>
      </c>
      <c r="Y77">
        <v>73.62</v>
      </c>
      <c r="Z77">
        <v>96.78</v>
      </c>
      <c r="AB77">
        <v>23</v>
      </c>
      <c r="AC77">
        <v>965</v>
      </c>
      <c r="AD77">
        <v>39</v>
      </c>
      <c r="AE77">
        <v>22.99</v>
      </c>
    </row>
    <row r="78" spans="1:31" x14ac:dyDescent="0.25">
      <c r="A78" t="s">
        <v>123</v>
      </c>
      <c r="B78">
        <v>16.07</v>
      </c>
      <c r="C78">
        <v>75.12</v>
      </c>
      <c r="D78">
        <v>89.37</v>
      </c>
      <c r="E78">
        <v>51.6</v>
      </c>
      <c r="F78">
        <v>84.71</v>
      </c>
      <c r="G78">
        <v>69.02</v>
      </c>
      <c r="H78">
        <v>67.11</v>
      </c>
      <c r="I78">
        <v>66.37</v>
      </c>
      <c r="J78">
        <v>101.44</v>
      </c>
      <c r="K78">
        <v>95.03</v>
      </c>
      <c r="L78">
        <v>65.64</v>
      </c>
      <c r="M78">
        <v>59.41</v>
      </c>
      <c r="N78">
        <v>57.69</v>
      </c>
      <c r="O78">
        <v>79.2</v>
      </c>
      <c r="P78">
        <v>102.57</v>
      </c>
      <c r="Q78">
        <v>67.11</v>
      </c>
      <c r="R78">
        <v>83.94</v>
      </c>
      <c r="S78">
        <v>83.78</v>
      </c>
      <c r="T78">
        <v>79.2</v>
      </c>
      <c r="U78">
        <v>93.61</v>
      </c>
      <c r="V78">
        <v>84.4</v>
      </c>
      <c r="W78">
        <v>79.66</v>
      </c>
      <c r="X78">
        <v>57.4</v>
      </c>
      <c r="Y78">
        <v>73.33</v>
      </c>
      <c r="Z78">
        <v>96.31</v>
      </c>
      <c r="AB78">
        <v>23</v>
      </c>
      <c r="AC78">
        <v>965</v>
      </c>
      <c r="AD78">
        <v>39</v>
      </c>
      <c r="AE78">
        <v>22.99</v>
      </c>
    </row>
    <row r="79" spans="1:31" x14ac:dyDescent="0.25">
      <c r="A79" t="s">
        <v>124</v>
      </c>
      <c r="B79">
        <v>16.32</v>
      </c>
      <c r="C79">
        <v>75.27</v>
      </c>
      <c r="D79">
        <v>89.05</v>
      </c>
      <c r="E79">
        <v>51.6</v>
      </c>
      <c r="F79">
        <v>84.86</v>
      </c>
      <c r="G79">
        <v>68.87</v>
      </c>
      <c r="H79">
        <v>67.25</v>
      </c>
      <c r="I79">
        <v>66.23</v>
      </c>
      <c r="J79">
        <v>101.28</v>
      </c>
      <c r="K79">
        <v>95.03</v>
      </c>
      <c r="L79">
        <v>65.790000000000006</v>
      </c>
      <c r="M79">
        <v>59.7</v>
      </c>
      <c r="N79">
        <v>57.69</v>
      </c>
      <c r="O79">
        <v>79.2</v>
      </c>
      <c r="P79">
        <v>102.41</v>
      </c>
      <c r="Q79">
        <v>67.55</v>
      </c>
      <c r="R79">
        <v>83.63</v>
      </c>
      <c r="S79">
        <v>84.4</v>
      </c>
      <c r="T79">
        <v>79.05</v>
      </c>
      <c r="U79">
        <v>93.61</v>
      </c>
      <c r="V79">
        <v>84.55</v>
      </c>
      <c r="W79">
        <v>79.5</v>
      </c>
      <c r="X79">
        <v>57.26</v>
      </c>
      <c r="Y79">
        <v>73.77</v>
      </c>
      <c r="Z79">
        <v>96.47</v>
      </c>
      <c r="AB79">
        <v>23</v>
      </c>
      <c r="AC79">
        <v>965</v>
      </c>
      <c r="AD79">
        <v>39</v>
      </c>
      <c r="AE79">
        <v>22.99</v>
      </c>
    </row>
    <row r="80" spans="1:31" x14ac:dyDescent="0.25">
      <c r="A80" t="s">
        <v>125</v>
      </c>
      <c r="B80">
        <v>16.57</v>
      </c>
      <c r="C80">
        <v>74.97</v>
      </c>
      <c r="D80">
        <v>88.9</v>
      </c>
      <c r="E80">
        <v>51.46</v>
      </c>
      <c r="F80">
        <v>84.4</v>
      </c>
      <c r="G80">
        <v>69.459999999999994</v>
      </c>
      <c r="H80">
        <v>66.959999999999994</v>
      </c>
      <c r="I80">
        <v>66.23</v>
      </c>
      <c r="J80">
        <v>101.76</v>
      </c>
      <c r="K80">
        <v>95.19</v>
      </c>
      <c r="L80">
        <v>66.23</v>
      </c>
      <c r="M80">
        <v>58.84</v>
      </c>
      <c r="N80">
        <v>57.69</v>
      </c>
      <c r="O80">
        <v>79.2</v>
      </c>
      <c r="P80">
        <v>102.25</v>
      </c>
      <c r="Q80">
        <v>67.69</v>
      </c>
      <c r="R80">
        <v>83.78</v>
      </c>
      <c r="S80">
        <v>84.4</v>
      </c>
      <c r="T80">
        <v>79.2</v>
      </c>
      <c r="U80">
        <v>93.61</v>
      </c>
      <c r="V80">
        <v>84.4</v>
      </c>
      <c r="W80">
        <v>79.2</v>
      </c>
      <c r="X80">
        <v>57.26</v>
      </c>
      <c r="Y80">
        <v>74.37</v>
      </c>
      <c r="Z80">
        <v>96.62</v>
      </c>
      <c r="AB80">
        <v>23</v>
      </c>
      <c r="AC80">
        <v>965</v>
      </c>
      <c r="AD80">
        <v>39</v>
      </c>
      <c r="AE80">
        <v>22.97</v>
      </c>
    </row>
    <row r="81" spans="1:31" x14ac:dyDescent="0.25">
      <c r="A81" t="s">
        <v>126</v>
      </c>
      <c r="B81">
        <v>16.82</v>
      </c>
      <c r="C81">
        <v>74.97</v>
      </c>
      <c r="D81">
        <v>89.21</v>
      </c>
      <c r="E81">
        <v>51.03</v>
      </c>
      <c r="F81">
        <v>84.4</v>
      </c>
      <c r="G81">
        <v>69.31</v>
      </c>
      <c r="H81">
        <v>66.959999999999994</v>
      </c>
      <c r="I81">
        <v>65.349999999999994</v>
      </c>
      <c r="J81">
        <v>101.76</v>
      </c>
      <c r="K81">
        <v>95.19</v>
      </c>
      <c r="L81">
        <v>66.37</v>
      </c>
      <c r="M81">
        <v>58.98</v>
      </c>
      <c r="N81">
        <v>57.69</v>
      </c>
      <c r="O81">
        <v>79.2</v>
      </c>
      <c r="P81">
        <v>102.41</v>
      </c>
      <c r="Q81">
        <v>67.989999999999995</v>
      </c>
      <c r="R81">
        <v>83.48</v>
      </c>
      <c r="S81">
        <v>84.09</v>
      </c>
      <c r="T81">
        <v>79.2</v>
      </c>
      <c r="U81">
        <v>93.61</v>
      </c>
      <c r="V81">
        <v>84.25</v>
      </c>
      <c r="W81">
        <v>79.959999999999994</v>
      </c>
      <c r="X81">
        <v>56.83</v>
      </c>
      <c r="Y81">
        <v>74.37</v>
      </c>
      <c r="Z81">
        <v>96.31</v>
      </c>
      <c r="AB81">
        <v>23</v>
      </c>
      <c r="AC81">
        <v>965</v>
      </c>
      <c r="AD81">
        <v>39</v>
      </c>
      <c r="AE81">
        <v>22.98</v>
      </c>
    </row>
    <row r="83" spans="1:31" x14ac:dyDescent="0.25">
      <c r="B83">
        <v>0.03</v>
      </c>
      <c r="C83">
        <f>(((($AC14-EXP(52.57-6690.9/(273.15+$AE14)-4.681*LN(273.15+$AE14)))/1013)*C14/100*0.2095*(48.998-1.335*$AE14+0.02755*POWER($AE14,2)-0.000322*POWER($AE14,3)+0.000001598*POWER($AE14,4))*32/22.414))*31.25</f>
        <v>214.87471393225911</v>
      </c>
      <c r="D83">
        <f t="shared" ref="D83:Z83" si="0">(((($AC14-EXP(52.57-6690.9/(273.15+$AE14)-4.681*LN(273.15+$AE14)))/1013)*D14/100*0.2095*(48.998-1.335*$AE14+0.02755*POWER($AE14,2)-0.000322*POWER($AE14,3)+0.000001598*POWER($AE14,4))*32/22.414))*31.25</f>
        <v>245.72103633973737</v>
      </c>
      <c r="E83">
        <f t="shared" si="0"/>
        <v>179.70222680539186</v>
      </c>
      <c r="F83">
        <f t="shared" si="0"/>
        <v>245.31145861482474</v>
      </c>
      <c r="G83">
        <f t="shared" si="0"/>
        <v>195.77815250821038</v>
      </c>
      <c r="H83">
        <f t="shared" si="0"/>
        <v>203.50893206593517</v>
      </c>
      <c r="I83">
        <f t="shared" si="0"/>
        <v>212.51964201401179</v>
      </c>
      <c r="J83">
        <f t="shared" si="0"/>
        <v>257.59879036220195</v>
      </c>
      <c r="K83">
        <f t="shared" si="0"/>
        <v>240.42212452368088</v>
      </c>
      <c r="L83">
        <f t="shared" si="0"/>
        <v>176.6815910841616</v>
      </c>
      <c r="M83">
        <f t="shared" si="0"/>
        <v>213.28760024822287</v>
      </c>
      <c r="N83">
        <f t="shared" si="0"/>
        <v>187.33061193188854</v>
      </c>
      <c r="O83">
        <f t="shared" si="0"/>
        <v>218.43292041743709</v>
      </c>
      <c r="P83">
        <f t="shared" si="0"/>
        <v>256.77963491237682</v>
      </c>
      <c r="Q83">
        <f t="shared" si="0"/>
        <v>199.64354228707273</v>
      </c>
      <c r="R83">
        <f t="shared" si="0"/>
        <v>236.40314309797628</v>
      </c>
      <c r="S83">
        <f t="shared" si="0"/>
        <v>236.40314309797628</v>
      </c>
      <c r="T83">
        <f t="shared" si="0"/>
        <v>228.36518024656698</v>
      </c>
      <c r="U83">
        <f t="shared" si="0"/>
        <v>237.19669993999435</v>
      </c>
      <c r="V83">
        <f t="shared" si="0"/>
        <v>238.01585538981954</v>
      </c>
      <c r="W83">
        <f t="shared" si="0"/>
        <v>210.93252832997561</v>
      </c>
      <c r="X83">
        <f t="shared" si="0"/>
        <v>174.4033149893354</v>
      </c>
      <c r="Y83">
        <f t="shared" si="0"/>
        <v>227.95560252165438</v>
      </c>
      <c r="Z83">
        <f t="shared" si="0"/>
        <v>249.79121498105607</v>
      </c>
    </row>
    <row r="84" spans="1:31" x14ac:dyDescent="0.25">
      <c r="B84">
        <v>0.28000000000000003</v>
      </c>
      <c r="C84">
        <f t="shared" ref="C84:Z84" si="1">(((($AC15-EXP(52.57-6690.9/(273.15+$AE15)-4.681*LN(273.15+$AE15)))/1013)*C15/100*0.2095*(48.998-1.335*$AE15+0.02755*POWER($AE15,2)-0.000322*POWER($AE15,3)+0.000001598*POWER($AE15,4))*32/22.414))*31.25</f>
        <v>214.08115709024099</v>
      </c>
      <c r="D84">
        <f t="shared" si="1"/>
        <v>244.49230316499958</v>
      </c>
      <c r="E84">
        <f t="shared" si="1"/>
        <v>178.57588806188221</v>
      </c>
      <c r="F84">
        <f t="shared" si="1"/>
        <v>244.49230316499958</v>
      </c>
      <c r="G84">
        <f t="shared" si="1"/>
        <v>194.60061654908671</v>
      </c>
      <c r="H84">
        <f t="shared" si="1"/>
        <v>202.74097383172415</v>
      </c>
      <c r="I84">
        <f t="shared" si="1"/>
        <v>210.93252832997561</v>
      </c>
      <c r="J84">
        <f t="shared" si="1"/>
        <v>257.59879036220195</v>
      </c>
      <c r="K84">
        <f t="shared" si="1"/>
        <v>241.65085769841869</v>
      </c>
      <c r="L84">
        <f t="shared" si="1"/>
        <v>176.2976119670561</v>
      </c>
      <c r="M84">
        <f t="shared" si="1"/>
        <v>211.7260851719937</v>
      </c>
      <c r="N84">
        <f t="shared" si="1"/>
        <v>185.0267372292553</v>
      </c>
      <c r="O84">
        <f t="shared" si="1"/>
        <v>216.84580673340088</v>
      </c>
      <c r="P84">
        <f t="shared" si="1"/>
        <v>257.18921263728942</v>
      </c>
      <c r="Q84">
        <f t="shared" si="1"/>
        <v>198.08202721084362</v>
      </c>
      <c r="R84">
        <f t="shared" si="1"/>
        <v>236.40314309797628</v>
      </c>
      <c r="S84">
        <f t="shared" si="1"/>
        <v>235.58398764815115</v>
      </c>
      <c r="T84">
        <f t="shared" si="1"/>
        <v>227.57162340454894</v>
      </c>
      <c r="U84">
        <f t="shared" si="1"/>
        <v>236.40314309797628</v>
      </c>
      <c r="V84">
        <f t="shared" si="1"/>
        <v>238.01585538981954</v>
      </c>
      <c r="W84">
        <f t="shared" si="1"/>
        <v>208.57745641172832</v>
      </c>
      <c r="X84">
        <f t="shared" si="1"/>
        <v>172.15063750231627</v>
      </c>
      <c r="Y84">
        <f t="shared" si="1"/>
        <v>226.75246795472376</v>
      </c>
      <c r="Z84">
        <f t="shared" si="1"/>
        <v>248.97205953123094</v>
      </c>
    </row>
    <row r="85" spans="1:31" x14ac:dyDescent="0.25">
      <c r="B85">
        <v>0.53</v>
      </c>
      <c r="C85">
        <f t="shared" ref="C85:Z85" si="2">(((($AC16-EXP(52.57-6690.9/(273.15+$AE16)-4.681*LN(273.15+$AE16)))/1013)*C16/100*0.2095*(48.998-1.335*$AE16+0.02755*POWER($AE16,2)-0.000322*POWER($AE16,3)+0.000001598*POWER($AE16,4))*32/22.414))*31.25</f>
        <v>214.38373528407067</v>
      </c>
      <c r="D85">
        <f t="shared" si="2"/>
        <v>245.21834987195618</v>
      </c>
      <c r="E85">
        <f t="shared" si="2"/>
        <v>177.35660888683381</v>
      </c>
      <c r="F85">
        <f t="shared" si="2"/>
        <v>244.80892760356934</v>
      </c>
      <c r="G85">
        <f t="shared" si="2"/>
        <v>195.32001091230745</v>
      </c>
      <c r="H85">
        <f t="shared" si="2"/>
        <v>201.10310045327185</v>
      </c>
      <c r="I85">
        <f t="shared" si="2"/>
        <v>208.90771244439637</v>
      </c>
      <c r="J85">
        <f t="shared" si="2"/>
        <v>258.3198624603358</v>
      </c>
      <c r="K85">
        <f t="shared" si="2"/>
        <v>241.9685606166355</v>
      </c>
      <c r="L85">
        <f t="shared" si="2"/>
        <v>175.10478641070608</v>
      </c>
      <c r="M85">
        <f t="shared" si="2"/>
        <v>211.26189048762083</v>
      </c>
      <c r="N85">
        <f t="shared" si="2"/>
        <v>184.18884299053957</v>
      </c>
      <c r="O85">
        <f t="shared" si="2"/>
        <v>217.94059124068156</v>
      </c>
      <c r="P85">
        <f t="shared" si="2"/>
        <v>256.68217338678841</v>
      </c>
      <c r="Q85">
        <f t="shared" si="2"/>
        <v>196.08767766553274</v>
      </c>
      <c r="R85">
        <f t="shared" si="2"/>
        <v>235.08514872938142</v>
      </c>
      <c r="S85">
        <f t="shared" si="2"/>
        <v>235.08514872938142</v>
      </c>
      <c r="T85">
        <f t="shared" si="2"/>
        <v>227.48524787245026</v>
      </c>
      <c r="U85">
        <f t="shared" si="2"/>
        <v>237.10667117954151</v>
      </c>
      <c r="V85">
        <f t="shared" si="2"/>
        <v>237.10667117954151</v>
      </c>
      <c r="W85">
        <f t="shared" si="2"/>
        <v>207.73062342278413</v>
      </c>
      <c r="X85">
        <f t="shared" si="2"/>
        <v>171.72705269651448</v>
      </c>
      <c r="Y85">
        <f t="shared" si="2"/>
        <v>226.66640333567656</v>
      </c>
      <c r="Z85">
        <f t="shared" si="2"/>
        <v>248.87756139566383</v>
      </c>
    </row>
    <row r="86" spans="1:31" x14ac:dyDescent="0.25">
      <c r="B86">
        <v>0.78</v>
      </c>
      <c r="C86">
        <f t="shared" ref="C86:Z86" si="3">(((($AC17-EXP(52.57-6690.9/(273.15+$AE17)-4.681*LN(273.15+$AE17)))/1013)*C17/100*0.2095*(48.998-1.335*$AE17+0.02755*POWER($AE17,2)-0.000322*POWER($AE17,3)+0.000001598*POWER($AE17,4))*32/22.414))*31.25</f>
        <v>213.20664626245841</v>
      </c>
      <c r="D86">
        <f t="shared" si="3"/>
        <v>244.39950533518254</v>
      </c>
      <c r="E86">
        <f t="shared" si="3"/>
        <v>176.9983644019953</v>
      </c>
      <c r="F86">
        <f t="shared" si="3"/>
        <v>243.17123853002192</v>
      </c>
      <c r="G86">
        <f t="shared" si="3"/>
        <v>194.14292189069519</v>
      </c>
      <c r="H86">
        <f t="shared" si="3"/>
        <v>199.95160032343378</v>
      </c>
      <c r="I86">
        <f t="shared" si="3"/>
        <v>208.90771244439637</v>
      </c>
      <c r="J86">
        <f t="shared" si="3"/>
        <v>257.50101792356213</v>
      </c>
      <c r="K86">
        <f t="shared" si="3"/>
        <v>241.9685606166355</v>
      </c>
      <c r="L86">
        <f t="shared" si="3"/>
        <v>174.72095303409341</v>
      </c>
      <c r="M86">
        <f t="shared" si="3"/>
        <v>210.4686348426213</v>
      </c>
      <c r="N86">
        <f t="shared" si="3"/>
        <v>181.91143162263768</v>
      </c>
      <c r="O86">
        <f t="shared" si="3"/>
        <v>217.55675786406886</v>
      </c>
      <c r="P86">
        <f t="shared" si="3"/>
        <v>256.68217338678841</v>
      </c>
      <c r="Q86">
        <f t="shared" si="3"/>
        <v>195.70384428892007</v>
      </c>
      <c r="R86">
        <f t="shared" si="3"/>
        <v>235.08514872938142</v>
      </c>
      <c r="S86">
        <f t="shared" si="3"/>
        <v>234.70131535276872</v>
      </c>
      <c r="T86">
        <f t="shared" si="3"/>
        <v>226.66640333567656</v>
      </c>
      <c r="U86">
        <f t="shared" si="3"/>
        <v>236.69724891115465</v>
      </c>
      <c r="V86">
        <f t="shared" si="3"/>
        <v>235.08514872938142</v>
      </c>
      <c r="W86">
        <f t="shared" si="3"/>
        <v>206.93736777778463</v>
      </c>
      <c r="X86">
        <f t="shared" si="3"/>
        <v>172.08529718135296</v>
      </c>
      <c r="Y86">
        <f t="shared" si="3"/>
        <v>225.07989204567738</v>
      </c>
      <c r="Z86">
        <f t="shared" si="3"/>
        <v>248.87756139566383</v>
      </c>
    </row>
    <row r="87" spans="1:31" x14ac:dyDescent="0.25">
      <c r="B87">
        <v>1.03</v>
      </c>
      <c r="C87">
        <f t="shared" ref="C87:Z87" si="4">(((($AC18-EXP(52.57-6690.9/(273.15+$AE18)-4.681*LN(273.15+$AE18)))/1013)*C18/100*0.2095*(48.998-1.335*$AE18+0.02755*POWER($AE18,2)-0.000322*POWER($AE18,3)+0.000001598*POWER($AE18,4))*32/22.414))*31.25</f>
        <v>213.12575056064358</v>
      </c>
      <c r="D87">
        <f t="shared" si="4"/>
        <v>243.89750739267117</v>
      </c>
      <c r="E87">
        <f t="shared" si="4"/>
        <v>175.78014376533156</v>
      </c>
      <c r="F87">
        <f t="shared" si="4"/>
        <v>243.48824046888697</v>
      </c>
      <c r="G87">
        <f t="shared" si="4"/>
        <v>192.91819619879669</v>
      </c>
      <c r="H87">
        <f t="shared" si="4"/>
        <v>198.31540375620136</v>
      </c>
      <c r="I87">
        <f t="shared" si="4"/>
        <v>206.85885079019741</v>
      </c>
      <c r="J87">
        <f t="shared" si="4"/>
        <v>257.81258280133545</v>
      </c>
      <c r="K87">
        <f t="shared" si="4"/>
        <v>241.058218108918</v>
      </c>
      <c r="L87">
        <f t="shared" si="4"/>
        <v>174.27097198387719</v>
      </c>
      <c r="M87">
        <f t="shared" si="4"/>
        <v>209.59582334300447</v>
      </c>
      <c r="N87">
        <f t="shared" si="4"/>
        <v>180.71692603347896</v>
      </c>
      <c r="O87">
        <f t="shared" si="4"/>
        <v>216.27199003723487</v>
      </c>
      <c r="P87">
        <f t="shared" si="4"/>
        <v>256.5847820299827</v>
      </c>
      <c r="Q87">
        <f t="shared" si="4"/>
        <v>193.68557168089208</v>
      </c>
      <c r="R87">
        <f t="shared" si="4"/>
        <v>234.202997135532</v>
      </c>
      <c r="S87">
        <f t="shared" si="4"/>
        <v>234.61226405931623</v>
      </c>
      <c r="T87">
        <f t="shared" si="4"/>
        <v>226.98966760383473</v>
      </c>
      <c r="U87">
        <f t="shared" si="4"/>
        <v>236.22375257171672</v>
      </c>
      <c r="V87">
        <f t="shared" si="4"/>
        <v>234.61226405931623</v>
      </c>
      <c r="W87">
        <f t="shared" si="4"/>
        <v>204.91483290222226</v>
      </c>
      <c r="X87">
        <f t="shared" si="4"/>
        <v>170.53641130434596</v>
      </c>
      <c r="Y87">
        <f t="shared" si="4"/>
        <v>224.61080360933886</v>
      </c>
      <c r="Z87">
        <f t="shared" si="4"/>
        <v>247.55533052399289</v>
      </c>
    </row>
    <row r="88" spans="1:31" x14ac:dyDescent="0.25">
      <c r="B88">
        <v>1.28</v>
      </c>
      <c r="C88">
        <f t="shared" ref="C88:Z88" si="5">(((($AC19-EXP(52.57-6690.9/(273.15+$AE19)-4.681*LN(273.15+$AE19)))/1013)*C19/100*0.2095*(48.998-1.335*$AE19+0.02755*POWER($AE19,2)-0.000322*POWER($AE19,3)+0.000001598*POWER($AE19,4))*32/22.414))*31.25</f>
        <v>213.04491307602746</v>
      </c>
      <c r="D88">
        <f t="shared" si="5"/>
        <v>243.39588665034879</v>
      </c>
      <c r="E88">
        <f t="shared" si="5"/>
        <v>175.35549854481474</v>
      </c>
      <c r="F88">
        <f t="shared" si="5"/>
        <v>243.39588665034879</v>
      </c>
      <c r="G88">
        <f t="shared" si="5"/>
        <v>193.61210775464238</v>
      </c>
      <c r="H88">
        <f t="shared" si="5"/>
        <v>198.6237259691049</v>
      </c>
      <c r="I88">
        <f t="shared" si="5"/>
        <v>205.62976367707788</v>
      </c>
      <c r="J88">
        <f t="shared" si="5"/>
        <v>258.1239075255038</v>
      </c>
      <c r="K88">
        <f t="shared" si="5"/>
        <v>241.78500936712865</v>
      </c>
      <c r="L88">
        <f t="shared" si="5"/>
        <v>173.84689918433878</v>
      </c>
      <c r="M88">
        <f t="shared" si="5"/>
        <v>207.95658641950689</v>
      </c>
      <c r="N88">
        <f t="shared" si="5"/>
        <v>180.26483883653307</v>
      </c>
      <c r="O88">
        <f t="shared" si="5"/>
        <v>216.59907089138605</v>
      </c>
      <c r="P88">
        <f t="shared" si="5"/>
        <v>257.30568414355071</v>
      </c>
      <c r="Q88">
        <f t="shared" si="5"/>
        <v>192.84502333406138</v>
      </c>
      <c r="R88">
        <f t="shared" si="5"/>
        <v>234.90681906258575</v>
      </c>
      <c r="S88">
        <f t="shared" si="5"/>
        <v>234.52327685229528</v>
      </c>
      <c r="T88">
        <f t="shared" si="5"/>
        <v>226.49445991688086</v>
      </c>
      <c r="U88">
        <f t="shared" si="5"/>
        <v>236.13415413551533</v>
      </c>
      <c r="V88">
        <f t="shared" si="5"/>
        <v>233.70505347034219</v>
      </c>
      <c r="W88">
        <f t="shared" si="5"/>
        <v>205.62976367707788</v>
      </c>
      <c r="X88">
        <f t="shared" si="5"/>
        <v>170.47172773378247</v>
      </c>
      <c r="Y88">
        <f t="shared" si="5"/>
        <v>224.90915211434685</v>
      </c>
      <c r="Z88">
        <f t="shared" si="5"/>
        <v>247.87054577040448</v>
      </c>
    </row>
    <row r="89" spans="1:31" x14ac:dyDescent="0.25">
      <c r="B89">
        <v>1.53</v>
      </c>
      <c r="C89">
        <f t="shared" ref="C89:Z89" si="6">(((($AC20-EXP(52.57-6690.9/(273.15+$AE20)-4.681*LN(273.15+$AE20)))/1013)*C20/100*0.2095*(48.998-1.335*$AE20+0.02755*POWER($AE20,2)-0.000322*POWER($AE20,3)+0.000001598*POWER($AE20,4))*32/22.414))*31.25</f>
        <v>211.82854305951122</v>
      </c>
      <c r="D89">
        <f t="shared" si="6"/>
        <v>243.75876877533665</v>
      </c>
      <c r="E89">
        <f t="shared" si="6"/>
        <v>173.43046537722955</v>
      </c>
      <c r="F89">
        <f t="shared" si="6"/>
        <v>242.55723105824791</v>
      </c>
      <c r="G89">
        <f t="shared" si="6"/>
        <v>192.04151767596531</v>
      </c>
      <c r="H89">
        <f t="shared" si="6"/>
        <v>196.66871611837072</v>
      </c>
      <c r="I89">
        <f t="shared" si="6"/>
        <v>205.18173866710563</v>
      </c>
      <c r="J89">
        <f t="shared" si="6"/>
        <v>258.07496285128718</v>
      </c>
      <c r="K89">
        <f t="shared" si="6"/>
        <v>240.92109459242494</v>
      </c>
      <c r="L89">
        <f t="shared" si="6"/>
        <v>172.30562155697629</v>
      </c>
      <c r="M89">
        <f t="shared" si="6"/>
        <v>206.74118123609307</v>
      </c>
      <c r="N89">
        <f t="shared" si="6"/>
        <v>177.95540529052104</v>
      </c>
      <c r="O89">
        <f t="shared" si="6"/>
        <v>214.97299282976459</v>
      </c>
      <c r="P89">
        <f t="shared" si="6"/>
        <v>257.25689461837572</v>
      </c>
      <c r="Q89">
        <f t="shared" si="6"/>
        <v>191.27457870761071</v>
      </c>
      <c r="R89">
        <f t="shared" si="6"/>
        <v>234.06977314179153</v>
      </c>
      <c r="S89">
        <f t="shared" si="6"/>
        <v>233.25170490888007</v>
      </c>
      <c r="T89">
        <f t="shared" si="6"/>
        <v>226.45151272280356</v>
      </c>
      <c r="U89">
        <f t="shared" si="6"/>
        <v>236.08937909179167</v>
      </c>
      <c r="V89">
        <f t="shared" si="6"/>
        <v>233.25170490888007</v>
      </c>
      <c r="W89">
        <f t="shared" si="6"/>
        <v>204.41479969875107</v>
      </c>
      <c r="X89">
        <f t="shared" si="6"/>
        <v>169.31455958039376</v>
      </c>
      <c r="Y89">
        <f t="shared" si="6"/>
        <v>223.28149832027162</v>
      </c>
      <c r="Z89">
        <f t="shared" si="6"/>
        <v>248.23257942407116</v>
      </c>
    </row>
    <row r="90" spans="1:31" x14ac:dyDescent="0.25">
      <c r="B90">
        <v>1.78</v>
      </c>
      <c r="C90">
        <f t="shared" ref="C90:Z90" si="7">(((($AC21-EXP(52.57-6690.9/(273.15+$AE21)-4.681*LN(273.15+$AE21)))/1013)*C21/100*0.2095*(48.998-1.335*$AE21+0.02755*POWER($AE21,2)-0.000322*POWER($AE21,3)+0.000001598*POWER($AE21,4))*32/22.414))*31.25</f>
        <v>212.15711763962901</v>
      </c>
      <c r="D90">
        <f t="shared" si="7"/>
        <v>243.66635951504009</v>
      </c>
      <c r="E90">
        <f t="shared" si="7"/>
        <v>172.62362438637601</v>
      </c>
      <c r="F90">
        <f t="shared" si="7"/>
        <v>242.05639825133295</v>
      </c>
      <c r="G90">
        <f t="shared" si="7"/>
        <v>192.35203860196185</v>
      </c>
      <c r="H90">
        <f t="shared" si="7"/>
        <v>196.21083464672026</v>
      </c>
      <c r="I90">
        <f t="shared" si="7"/>
        <v>204.72062989774366</v>
      </c>
      <c r="J90">
        <f t="shared" si="7"/>
        <v>257.56824725244769</v>
      </c>
      <c r="K90">
        <f t="shared" si="7"/>
        <v>242.05639825133295</v>
      </c>
      <c r="L90">
        <f t="shared" si="7"/>
        <v>171.49920699585044</v>
      </c>
      <c r="M90">
        <f t="shared" si="7"/>
        <v>205.51283305925037</v>
      </c>
      <c r="N90">
        <f t="shared" si="7"/>
        <v>177.50461805888497</v>
      </c>
      <c r="O90">
        <f t="shared" si="7"/>
        <v>214.89149629386176</v>
      </c>
      <c r="P90">
        <f t="shared" si="7"/>
        <v>257.56824725244769</v>
      </c>
      <c r="Q90">
        <f t="shared" si="7"/>
        <v>189.28544571871026</v>
      </c>
      <c r="R90">
        <f t="shared" si="7"/>
        <v>233.57215794100327</v>
      </c>
      <c r="S90">
        <f t="shared" si="7"/>
        <v>232.37107572839639</v>
      </c>
      <c r="T90">
        <f t="shared" si="7"/>
        <v>225.57346150385513</v>
      </c>
      <c r="U90">
        <f t="shared" si="7"/>
        <v>235.99987730691092</v>
      </c>
      <c r="V90">
        <f t="shared" si="7"/>
        <v>232.37107572839639</v>
      </c>
      <c r="W90">
        <f t="shared" si="7"/>
        <v>202.39513029461114</v>
      </c>
      <c r="X90">
        <f t="shared" si="7"/>
        <v>168.48372399398627</v>
      </c>
      <c r="Y90">
        <f t="shared" si="7"/>
        <v>222.78797296823487</v>
      </c>
      <c r="Z90">
        <f t="shared" si="7"/>
        <v>247.32071603424836</v>
      </c>
    </row>
    <row r="91" spans="1:31" x14ac:dyDescent="0.25">
      <c r="B91">
        <v>2.0299999999999998</v>
      </c>
      <c r="C91">
        <f t="shared" ref="C91:Z91" si="8">(((($AC22-EXP(52.57-6690.9/(273.15+$AE22)-4.681*LN(273.15+$AE22)))/1013)*C22/100*0.2095*(48.998-1.335*$AE22+0.02755*POWER($AE22,2)-0.000322*POWER($AE22,3)+0.000001598*POWER($AE22,4))*32/22.414))*31.25</f>
        <v>211.66799184757036</v>
      </c>
      <c r="D91">
        <f t="shared" si="8"/>
        <v>243.98274078399044</v>
      </c>
      <c r="E91">
        <f t="shared" si="8"/>
        <v>171.79184711258881</v>
      </c>
      <c r="F91">
        <f t="shared" si="8"/>
        <v>242.75656849233178</v>
      </c>
      <c r="G91">
        <f t="shared" si="8"/>
        <v>191.51278480343171</v>
      </c>
      <c r="H91">
        <f t="shared" si="8"/>
        <v>195.37011847094109</v>
      </c>
      <c r="I91">
        <f t="shared" si="8"/>
        <v>203.87668874432285</v>
      </c>
      <c r="J91">
        <f t="shared" si="8"/>
        <v>257.47063599223537</v>
      </c>
      <c r="K91">
        <f t="shared" si="8"/>
        <v>241.55594145674942</v>
      </c>
      <c r="L91">
        <f t="shared" si="8"/>
        <v>171.79184711258881</v>
      </c>
      <c r="M91">
        <f t="shared" si="8"/>
        <v>205.02622526775286</v>
      </c>
      <c r="N91">
        <f t="shared" si="8"/>
        <v>176.6965362792233</v>
      </c>
      <c r="O91">
        <f t="shared" si="8"/>
        <v>214.81005834494565</v>
      </c>
      <c r="P91">
        <f t="shared" si="8"/>
        <v>257.47063599223537</v>
      </c>
      <c r="Q91">
        <f t="shared" si="8"/>
        <v>188.83053291542851</v>
      </c>
      <c r="R91">
        <f t="shared" si="8"/>
        <v>233.48364053666344</v>
      </c>
      <c r="S91">
        <f t="shared" si="8"/>
        <v>232.69173759830056</v>
      </c>
      <c r="T91">
        <f t="shared" si="8"/>
        <v>225.48797538480616</v>
      </c>
      <c r="U91">
        <f t="shared" si="8"/>
        <v>236.29361870504775</v>
      </c>
      <c r="V91">
        <f t="shared" si="8"/>
        <v>231.87428940386152</v>
      </c>
      <c r="W91">
        <f t="shared" si="8"/>
        <v>199.99380982073723</v>
      </c>
      <c r="X91">
        <f t="shared" si="8"/>
        <v>168.0622397254605</v>
      </c>
      <c r="Y91">
        <f t="shared" si="8"/>
        <v>221.52846069299184</v>
      </c>
      <c r="Z91">
        <f t="shared" si="8"/>
        <v>248.86188469454876</v>
      </c>
    </row>
    <row r="92" spans="1:31" x14ac:dyDescent="0.25">
      <c r="B92">
        <v>2.2799999999999998</v>
      </c>
      <c r="C92">
        <f t="shared" ref="C92:Z92" si="9">(((($AC23-EXP(52.57-6690.9/(273.15+$AE23)-4.681*LN(273.15+$AE23)))/1013)*C23/100*0.2095*(48.998-1.335*$AE23+0.02755*POWER($AE23,2)-0.000322*POWER($AE23,3)+0.000001598*POWER($AE23,4))*32/22.414))*31.25</f>
        <v>210.90163416528372</v>
      </c>
      <c r="D92">
        <f t="shared" si="9"/>
        <v>243.5740166867709</v>
      </c>
      <c r="E92">
        <f t="shared" si="9"/>
        <v>170.31022226016796</v>
      </c>
      <c r="F92">
        <f t="shared" si="9"/>
        <v>240.32976916509077</v>
      </c>
      <c r="G92">
        <f t="shared" si="9"/>
        <v>190.7464271211451</v>
      </c>
      <c r="H92">
        <f t="shared" si="9"/>
        <v>193.42867900914831</v>
      </c>
      <c r="I92">
        <f t="shared" si="9"/>
        <v>202.70160696481668</v>
      </c>
      <c r="J92">
        <f t="shared" si="9"/>
        <v>258.31362944275065</v>
      </c>
      <c r="K92">
        <f t="shared" si="9"/>
        <v>241.96466555396898</v>
      </c>
      <c r="L92">
        <f t="shared" si="9"/>
        <v>171.43421352752171</v>
      </c>
      <c r="M92">
        <f t="shared" si="9"/>
        <v>202.70160696481668</v>
      </c>
      <c r="N92">
        <f t="shared" si="9"/>
        <v>175.93017859693666</v>
      </c>
      <c r="O92">
        <f t="shared" si="9"/>
        <v>214.81005834494565</v>
      </c>
      <c r="P92">
        <f t="shared" si="9"/>
        <v>257.47063599223537</v>
      </c>
      <c r="Q92">
        <f t="shared" si="9"/>
        <v>186.94018396578809</v>
      </c>
      <c r="R92">
        <f t="shared" si="9"/>
        <v>232.28301350108109</v>
      </c>
      <c r="S92">
        <f t="shared" si="9"/>
        <v>231.87428940386152</v>
      </c>
      <c r="T92">
        <f t="shared" si="9"/>
        <v>224.31289360529996</v>
      </c>
      <c r="U92">
        <f t="shared" si="9"/>
        <v>235.91043986390449</v>
      </c>
      <c r="V92">
        <f t="shared" si="9"/>
        <v>230.67366236827908</v>
      </c>
      <c r="W92">
        <f t="shared" si="9"/>
        <v>199.99380982073723</v>
      </c>
      <c r="X92">
        <f t="shared" si="9"/>
        <v>166.93824845810676</v>
      </c>
      <c r="Y92">
        <f t="shared" si="9"/>
        <v>220.3278336574094</v>
      </c>
      <c r="Z92">
        <f t="shared" si="9"/>
        <v>248.04443650010961</v>
      </c>
    </row>
    <row r="93" spans="1:31" x14ac:dyDescent="0.25">
      <c r="B93">
        <v>2.5299999999999998</v>
      </c>
      <c r="C93">
        <f t="shared" ref="C93:Z93" si="10">(((($AC24-EXP(52.57-6690.9/(273.15+$AE24)-4.681*LN(273.15+$AE24)))/1013)*C24/100*0.2095*(48.998-1.335*$AE24+0.02755*POWER($AE24,2)-0.000322*POWER($AE24,3)+0.000001598*POWER($AE24,4))*32/22.414))*31.25</f>
        <v>210.06992470611542</v>
      </c>
      <c r="D93">
        <f t="shared" si="10"/>
        <v>242.71057683674346</v>
      </c>
      <c r="E93">
        <f t="shared" si="10"/>
        <v>169.89484974408268</v>
      </c>
      <c r="F93">
        <f t="shared" si="10"/>
        <v>240.69288394290962</v>
      </c>
      <c r="G93">
        <f t="shared" si="10"/>
        <v>191.09339533752654</v>
      </c>
      <c r="H93">
        <f t="shared" si="10"/>
        <v>193.00892656584978</v>
      </c>
      <c r="I93">
        <f t="shared" si="10"/>
        <v>201.10523855756267</v>
      </c>
      <c r="J93">
        <f t="shared" si="10"/>
        <v>257.83050333230824</v>
      </c>
      <c r="K93">
        <f t="shared" si="10"/>
        <v>242.71057683674346</v>
      </c>
      <c r="L93">
        <f t="shared" si="10"/>
        <v>169.89484974408268</v>
      </c>
      <c r="M93">
        <f t="shared" si="10"/>
        <v>200.33902606623334</v>
      </c>
      <c r="N93">
        <f t="shared" si="10"/>
        <v>174.77306927221252</v>
      </c>
      <c r="O93">
        <f t="shared" si="10"/>
        <v>213.21139592056556</v>
      </c>
      <c r="P93">
        <f t="shared" si="10"/>
        <v>257.01321000822361</v>
      </c>
      <c r="Q93">
        <f t="shared" si="10"/>
        <v>186.52166080592841</v>
      </c>
      <c r="R93">
        <f t="shared" si="10"/>
        <v>231.03860655216053</v>
      </c>
      <c r="S93">
        <f t="shared" si="10"/>
        <v>232.2390061219098</v>
      </c>
      <c r="T93">
        <f t="shared" si="10"/>
        <v>223.47864330437812</v>
      </c>
      <c r="U93">
        <f t="shared" si="10"/>
        <v>235.45709858549279</v>
      </c>
      <c r="V93">
        <f t="shared" si="10"/>
        <v>229.0464540747044</v>
      </c>
      <c r="W93">
        <f t="shared" si="10"/>
        <v>198.80660108357475</v>
      </c>
      <c r="X93">
        <f t="shared" si="10"/>
        <v>166.90662102789844</v>
      </c>
      <c r="Y93">
        <f t="shared" si="10"/>
        <v>219.11123210380114</v>
      </c>
      <c r="Z93">
        <f t="shared" si="10"/>
        <v>247.58879636487333</v>
      </c>
    </row>
    <row r="94" spans="1:31" x14ac:dyDescent="0.25">
      <c r="B94">
        <v>2.78</v>
      </c>
      <c r="C94">
        <f t="shared" ref="C94:Z94" si="11">(((($AC25-EXP(52.57-6690.9/(273.15+$AE25)-4.681*LN(273.15+$AE25)))/1013)*C25/100*0.2095*(48.998-1.335*$AE25+0.02755*POWER($AE25,2)-0.000322*POWER($AE25,3)+0.000001598*POWER($AE25,4))*32/22.414))*31.25</f>
        <v>210.45303095178011</v>
      </c>
      <c r="D94">
        <f t="shared" si="11"/>
        <v>243.93651682287035</v>
      </c>
      <c r="E94">
        <f t="shared" si="11"/>
        <v>168.77107142346637</v>
      </c>
      <c r="F94">
        <f t="shared" si="11"/>
        <v>240.69288394290962</v>
      </c>
      <c r="G94">
        <f t="shared" si="11"/>
        <v>189.94407660053261</v>
      </c>
      <c r="H94">
        <f t="shared" si="11"/>
        <v>192.62582032018511</v>
      </c>
      <c r="I94">
        <f t="shared" si="11"/>
        <v>201.89699146526962</v>
      </c>
      <c r="J94">
        <f t="shared" si="11"/>
        <v>258.67333707277044</v>
      </c>
      <c r="K94">
        <f t="shared" si="11"/>
        <v>241.91882392903651</v>
      </c>
      <c r="L94">
        <f t="shared" si="11"/>
        <v>169.89484974408268</v>
      </c>
      <c r="M94">
        <f t="shared" si="11"/>
        <v>199.95591982056871</v>
      </c>
      <c r="N94">
        <f t="shared" si="11"/>
        <v>174.38996302654786</v>
      </c>
      <c r="O94">
        <f t="shared" si="11"/>
        <v>213.5945021662302</v>
      </c>
      <c r="P94">
        <f t="shared" si="11"/>
        <v>257.01321000822361</v>
      </c>
      <c r="Q94">
        <f t="shared" si="11"/>
        <v>186.13855456026374</v>
      </c>
      <c r="R94">
        <f t="shared" si="11"/>
        <v>231.44725321420285</v>
      </c>
      <c r="S94">
        <f t="shared" si="11"/>
        <v>231.03860655216053</v>
      </c>
      <c r="T94">
        <f t="shared" si="11"/>
        <v>224.27039621208502</v>
      </c>
      <c r="U94">
        <f t="shared" si="11"/>
        <v>236.65749815524202</v>
      </c>
      <c r="V94">
        <f t="shared" si="11"/>
        <v>229.83820698241126</v>
      </c>
      <c r="W94">
        <f t="shared" si="11"/>
        <v>197.63174193020319</v>
      </c>
      <c r="X94">
        <f t="shared" si="11"/>
        <v>165.7828427072821</v>
      </c>
      <c r="Y94">
        <f t="shared" si="11"/>
        <v>218.70258544175886</v>
      </c>
      <c r="Z94">
        <f t="shared" si="11"/>
        <v>246.77150304078873</v>
      </c>
    </row>
    <row r="95" spans="1:31" x14ac:dyDescent="0.25">
      <c r="B95">
        <v>3.03</v>
      </c>
      <c r="C95">
        <f t="shared" ref="C95:Z95" si="12">(((($AC26-EXP(52.57-6690.9/(273.15+$AE26)-4.681*LN(273.15+$AE26)))/1013)*C26/100*0.2095*(48.998-1.335*$AE26+0.02755*POWER($AE26,2)-0.000322*POWER($AE26,3)+0.000001598*POWER($AE26,4))*32/22.414))*31.25</f>
        <v>209.64709881064886</v>
      </c>
      <c r="D95">
        <f t="shared" si="12"/>
        <v>241.87299877399101</v>
      </c>
      <c r="E95">
        <f t="shared" si="12"/>
        <v>167.99857041111565</v>
      </c>
      <c r="F95">
        <f t="shared" si="12"/>
        <v>240.23872175524787</v>
      </c>
      <c r="G95">
        <f t="shared" si="12"/>
        <v>189.90809669364143</v>
      </c>
      <c r="H95">
        <f t="shared" si="12"/>
        <v>192.58933242751695</v>
      </c>
      <c r="I95">
        <f t="shared" si="12"/>
        <v>200.68411078597927</v>
      </c>
      <c r="J95">
        <f t="shared" si="12"/>
        <v>257.37309487363342</v>
      </c>
      <c r="K95">
        <f t="shared" si="12"/>
        <v>241.87299877399101</v>
      </c>
      <c r="L95">
        <f t="shared" si="12"/>
        <v>169.86266763561949</v>
      </c>
      <c r="M95">
        <f t="shared" si="12"/>
        <v>198.3603731499538</v>
      </c>
      <c r="N95">
        <f t="shared" si="12"/>
        <v>172.85033031050941</v>
      </c>
      <c r="O95">
        <f t="shared" si="12"/>
        <v>212.76243937762806</v>
      </c>
      <c r="P95">
        <f t="shared" si="12"/>
        <v>257.78166412831922</v>
      </c>
      <c r="Q95">
        <f t="shared" si="12"/>
        <v>185.33722815684402</v>
      </c>
      <c r="R95">
        <f t="shared" si="12"/>
        <v>230.58627311329593</v>
      </c>
      <c r="S95">
        <f t="shared" si="12"/>
        <v>230.20323943702797</v>
      </c>
      <c r="T95">
        <f t="shared" si="12"/>
        <v>222.61917264692298</v>
      </c>
      <c r="U95">
        <f t="shared" si="12"/>
        <v>236.6126696199114</v>
      </c>
      <c r="V95">
        <f t="shared" si="12"/>
        <v>229.0030672513885</v>
      </c>
      <c r="W95">
        <f t="shared" si="12"/>
        <v>196.44520476861416</v>
      </c>
      <c r="X95">
        <f t="shared" si="12"/>
        <v>165.01090773622573</v>
      </c>
      <c r="Y95">
        <f t="shared" si="12"/>
        <v>217.48652138493262</v>
      </c>
      <c r="Z95">
        <f t="shared" si="12"/>
        <v>247.95046643744223</v>
      </c>
    </row>
    <row r="96" spans="1:31" x14ac:dyDescent="0.25">
      <c r="B96">
        <v>3.28</v>
      </c>
      <c r="C96">
        <f t="shared" ref="C96:Z96" si="13">(((($AC27-EXP(52.57-6690.9/(273.15+$AE27)-4.681*LN(273.15+$AE27)))/1013)*C27/100*0.2095*(48.998-1.335*$AE27+0.02755*POWER($AE27,2)-0.000322*POWER($AE27,3)+0.000001598*POWER($AE27,4))*32/22.414))*31.25</f>
        <v>209.64709881064886</v>
      </c>
      <c r="D96">
        <f t="shared" si="13"/>
        <v>241.46442951930524</v>
      </c>
      <c r="E96">
        <f t="shared" si="13"/>
        <v>167.61553673484769</v>
      </c>
      <c r="F96">
        <f t="shared" si="13"/>
        <v>238.22141106023673</v>
      </c>
      <c r="G96">
        <f t="shared" si="13"/>
        <v>190.29113036990938</v>
      </c>
      <c r="H96">
        <f t="shared" si="13"/>
        <v>191.44023139871317</v>
      </c>
      <c r="I96">
        <f t="shared" si="13"/>
        <v>199.91804343344336</v>
      </c>
      <c r="J96">
        <f t="shared" si="13"/>
        <v>258.21576896142284</v>
      </c>
      <c r="K96">
        <f t="shared" si="13"/>
        <v>241.46442951930524</v>
      </c>
      <c r="L96">
        <f t="shared" si="13"/>
        <v>168.35606850896568</v>
      </c>
      <c r="M96">
        <f t="shared" si="13"/>
        <v>195.67913741607825</v>
      </c>
      <c r="N96">
        <f t="shared" si="13"/>
        <v>171.7267648601235</v>
      </c>
      <c r="O96">
        <f t="shared" si="13"/>
        <v>213.17100863231389</v>
      </c>
      <c r="P96">
        <f t="shared" si="13"/>
        <v>256.96452561894762</v>
      </c>
      <c r="Q96">
        <f t="shared" si="13"/>
        <v>184.95419448057615</v>
      </c>
      <c r="R96">
        <f t="shared" si="13"/>
        <v>230.58627311329593</v>
      </c>
      <c r="S96">
        <f t="shared" si="13"/>
        <v>230.20323943702797</v>
      </c>
      <c r="T96">
        <f t="shared" si="13"/>
        <v>222.61917264692298</v>
      </c>
      <c r="U96">
        <f t="shared" si="13"/>
        <v>236.20410036522563</v>
      </c>
      <c r="V96">
        <f t="shared" si="13"/>
        <v>229.3861009276564</v>
      </c>
      <c r="W96">
        <f t="shared" si="13"/>
        <v>196.0621710923462</v>
      </c>
      <c r="X96">
        <f t="shared" si="13"/>
        <v>165.36840583407584</v>
      </c>
      <c r="Y96">
        <f t="shared" si="13"/>
        <v>216.69491845397889</v>
      </c>
      <c r="Z96">
        <f t="shared" si="13"/>
        <v>248.35903569212806</v>
      </c>
    </row>
    <row r="97" spans="2:26" x14ac:dyDescent="0.25">
      <c r="B97">
        <v>3.53</v>
      </c>
      <c r="C97">
        <f t="shared" ref="C97:Z97" si="14">(((($AC28-EXP(52.57-6690.9/(273.15+$AE28)-4.681*LN(273.15+$AE28)))/1013)*C28/100*0.2095*(48.998-1.335*$AE28+0.02755*POWER($AE28,2)-0.000322*POWER($AE28,3)+0.000001598*POWER($AE28,4))*32/22.414))*31.25</f>
        <v>208.81594042010363</v>
      </c>
      <c r="D97">
        <f t="shared" si="14"/>
        <v>240.60171445397435</v>
      </c>
      <c r="E97">
        <f t="shared" si="14"/>
        <v>165.33708646051971</v>
      </c>
      <c r="F97">
        <f t="shared" si="14"/>
        <v>238.58478582049983</v>
      </c>
      <c r="G97">
        <f t="shared" si="14"/>
        <v>189.48916857782234</v>
      </c>
      <c r="H97">
        <f t="shared" si="14"/>
        <v>191.02101310957511</v>
      </c>
      <c r="I97">
        <f t="shared" si="14"/>
        <v>199.49721951860738</v>
      </c>
      <c r="J97">
        <f t="shared" si="14"/>
        <v>258.575356959874</v>
      </c>
      <c r="K97">
        <f t="shared" si="14"/>
        <v>241.41869820424256</v>
      </c>
      <c r="L97">
        <f t="shared" si="14"/>
        <v>168.32418329743774</v>
      </c>
      <c r="M97">
        <f t="shared" si="14"/>
        <v>194.46766330601895</v>
      </c>
      <c r="N97">
        <f t="shared" si="14"/>
        <v>170.95384974361335</v>
      </c>
      <c r="O97">
        <f t="shared" si="14"/>
        <v>213.13063585120733</v>
      </c>
      <c r="P97">
        <f t="shared" si="14"/>
        <v>257.73284246740997</v>
      </c>
      <c r="Q97">
        <f t="shared" si="14"/>
        <v>183.38732119300701</v>
      </c>
      <c r="R97">
        <f t="shared" si="14"/>
        <v>229.34265714559123</v>
      </c>
      <c r="S97">
        <f t="shared" si="14"/>
        <v>229.34265714559123</v>
      </c>
      <c r="T97">
        <f t="shared" si="14"/>
        <v>222.1940493307448</v>
      </c>
      <c r="U97">
        <f t="shared" si="14"/>
        <v>236.56785718702528</v>
      </c>
      <c r="V97">
        <f t="shared" si="14"/>
        <v>227.7597511294467</v>
      </c>
      <c r="W97">
        <f t="shared" si="14"/>
        <v>193.70174104014254</v>
      </c>
      <c r="X97">
        <f t="shared" si="14"/>
        <v>164.97965606977743</v>
      </c>
      <c r="Y97">
        <f t="shared" si="14"/>
        <v>215.47946413322833</v>
      </c>
      <c r="Z97">
        <f t="shared" si="14"/>
        <v>246.67803109659383</v>
      </c>
    </row>
    <row r="98" spans="2:26" x14ac:dyDescent="0.25">
      <c r="B98">
        <v>3.78</v>
      </c>
      <c r="C98">
        <f t="shared" ref="C98:Z98" si="15">(((($AC29-EXP(52.57-6690.9/(273.15+$AE29)-4.681*LN(273.15+$AE29)))/1013)*C29/100*0.2095*(48.998-1.335*$AE29+0.02755*POWER($AE29,2)-0.000322*POWER($AE29,3)+0.000001598*POWER($AE29,4))*32/22.414))*31.25</f>
        <v>209.60739342817587</v>
      </c>
      <c r="D98">
        <f t="shared" si="15"/>
        <v>240.60171445397435</v>
      </c>
      <c r="E98">
        <f t="shared" si="15"/>
        <v>165.33708646051971</v>
      </c>
      <c r="F98">
        <f t="shared" si="15"/>
        <v>238.58478582049983</v>
      </c>
      <c r="G98">
        <f t="shared" si="15"/>
        <v>189.10620744488412</v>
      </c>
      <c r="H98">
        <f t="shared" si="15"/>
        <v>190.63805197663694</v>
      </c>
      <c r="I98">
        <f t="shared" si="15"/>
        <v>198.73129725273094</v>
      </c>
      <c r="J98">
        <f t="shared" si="15"/>
        <v>257.73284246740997</v>
      </c>
      <c r="K98">
        <f t="shared" si="15"/>
        <v>241.41869820424256</v>
      </c>
      <c r="L98">
        <f t="shared" si="15"/>
        <v>167.9667529066954</v>
      </c>
      <c r="M98">
        <f t="shared" si="15"/>
        <v>192.9358187742661</v>
      </c>
      <c r="N98">
        <f t="shared" si="15"/>
        <v>170.57088861067518</v>
      </c>
      <c r="O98">
        <f t="shared" si="15"/>
        <v>212.33918284313509</v>
      </c>
      <c r="P98">
        <f t="shared" si="15"/>
        <v>258.575356959874</v>
      </c>
      <c r="Q98">
        <f t="shared" si="15"/>
        <v>183.02989080226465</v>
      </c>
      <c r="R98">
        <f t="shared" si="15"/>
        <v>229.34265714559123</v>
      </c>
      <c r="S98">
        <f t="shared" si="15"/>
        <v>228.95969601265307</v>
      </c>
      <c r="T98">
        <f t="shared" si="15"/>
        <v>222.1940493307448</v>
      </c>
      <c r="U98">
        <f t="shared" si="15"/>
        <v>237.38484093729346</v>
      </c>
      <c r="V98">
        <f t="shared" si="15"/>
        <v>227.35125925431257</v>
      </c>
      <c r="W98">
        <f t="shared" si="15"/>
        <v>194.46766330601895</v>
      </c>
      <c r="X98">
        <f t="shared" si="15"/>
        <v>164.2392645460969</v>
      </c>
      <c r="Y98">
        <f t="shared" si="15"/>
        <v>214.68801112515601</v>
      </c>
      <c r="Z98">
        <f t="shared" si="15"/>
        <v>247.0865229717279</v>
      </c>
    </row>
    <row r="99" spans="2:26" x14ac:dyDescent="0.25">
      <c r="B99">
        <v>4.03</v>
      </c>
      <c r="C99">
        <f t="shared" ref="C99:Z99" si="16">(((($AC30-EXP(52.57-6690.9/(273.15+$AE30)-4.681*LN(273.15+$AE30)))/1013)*C30/100*0.2095*(48.998-1.335*$AE30+0.02755*POWER($AE30,2)-0.000322*POWER($AE30,3)+0.000001598*POWER($AE30,4))*32/22.414))*31.25</f>
        <v>208.81594042010363</v>
      </c>
      <c r="D99">
        <f t="shared" si="16"/>
        <v>240.19322257884031</v>
      </c>
      <c r="E99">
        <f t="shared" si="16"/>
        <v>164.2392645460969</v>
      </c>
      <c r="F99">
        <f t="shared" si="16"/>
        <v>237.76780207023168</v>
      </c>
      <c r="G99">
        <f t="shared" si="16"/>
        <v>188.34028517900771</v>
      </c>
      <c r="H99">
        <f t="shared" si="16"/>
        <v>190.25509084369872</v>
      </c>
      <c r="I99">
        <f t="shared" si="16"/>
        <v>197.93984424465864</v>
      </c>
      <c r="J99">
        <f t="shared" si="16"/>
        <v>257.32435059227589</v>
      </c>
      <c r="K99">
        <f t="shared" si="16"/>
        <v>241.82719007937658</v>
      </c>
      <c r="L99">
        <f t="shared" si="16"/>
        <v>166.84340025007666</v>
      </c>
      <c r="M99">
        <f t="shared" si="16"/>
        <v>191.40397424251339</v>
      </c>
      <c r="N99">
        <f t="shared" si="16"/>
        <v>169.44753595405643</v>
      </c>
      <c r="O99">
        <f t="shared" si="16"/>
        <v>211.95622171019684</v>
      </c>
      <c r="P99">
        <f t="shared" si="16"/>
        <v>257.32435059227589</v>
      </c>
      <c r="Q99">
        <f t="shared" si="16"/>
        <v>180.73212400463549</v>
      </c>
      <c r="R99">
        <f t="shared" si="16"/>
        <v>228.55120413751891</v>
      </c>
      <c r="S99">
        <f t="shared" si="16"/>
        <v>228.55120413751891</v>
      </c>
      <c r="T99">
        <f t="shared" si="16"/>
        <v>220.61114331460021</v>
      </c>
      <c r="U99">
        <f t="shared" si="16"/>
        <v>236.97634906215933</v>
      </c>
      <c r="V99">
        <f t="shared" si="16"/>
        <v>226.55980624624024</v>
      </c>
      <c r="W99">
        <f t="shared" si="16"/>
        <v>191.40397424251339</v>
      </c>
      <c r="X99">
        <f t="shared" si="16"/>
        <v>163.85630341315871</v>
      </c>
      <c r="Y99">
        <f t="shared" si="16"/>
        <v>212.72214397607326</v>
      </c>
      <c r="Z99">
        <f t="shared" si="16"/>
        <v>246.29506996365566</v>
      </c>
    </row>
    <row r="100" spans="2:26" x14ac:dyDescent="0.25">
      <c r="B100">
        <v>4.28</v>
      </c>
      <c r="C100">
        <f t="shared" ref="C100:Z100" si="17">(((($AC31-EXP(52.57-6690.9/(273.15+$AE31)-4.681*LN(273.15+$AE31)))/1013)*C31/100*0.2095*(48.998-1.335*$AE31+0.02755*POWER($AE31,2)-0.000322*POWER($AE31,3)+0.000001598*POWER($AE31,4))*32/22.414))*31.25</f>
        <v>207.56290266042433</v>
      </c>
      <c r="D100">
        <f t="shared" si="17"/>
        <v>240.10227323610869</v>
      </c>
      <c r="E100">
        <f t="shared" si="17"/>
        <v>163.43696405230017</v>
      </c>
      <c r="F100">
        <f t="shared" si="17"/>
        <v>237.29495499036335</v>
      </c>
      <c r="G100">
        <f t="shared" si="17"/>
        <v>188.26896998966555</v>
      </c>
      <c r="H100">
        <f t="shared" si="17"/>
        <v>189.80023448734485</v>
      </c>
      <c r="I100">
        <f t="shared" si="17"/>
        <v>196.71644580186287</v>
      </c>
      <c r="J100">
        <f t="shared" si="17"/>
        <v>258.06911000887874</v>
      </c>
      <c r="K100">
        <f t="shared" si="17"/>
        <v>241.32728483425205</v>
      </c>
      <c r="L100">
        <f t="shared" si="17"/>
        <v>166.04011369835493</v>
      </c>
      <c r="M100">
        <f t="shared" si="17"/>
        <v>190.56586673618449</v>
      </c>
      <c r="N100">
        <f t="shared" si="17"/>
        <v>167.9031521705314</v>
      </c>
      <c r="O100">
        <f t="shared" si="17"/>
        <v>211.46762712950647</v>
      </c>
      <c r="P100">
        <f t="shared" si="17"/>
        <v>257.63525173453627</v>
      </c>
      <c r="Q100">
        <f t="shared" si="17"/>
        <v>179.92357847731361</v>
      </c>
      <c r="R100">
        <f t="shared" si="17"/>
        <v>227.2651725305642</v>
      </c>
      <c r="S100">
        <f t="shared" si="17"/>
        <v>227.67350972994532</v>
      </c>
      <c r="T100">
        <f t="shared" si="17"/>
        <v>219.73645541697448</v>
      </c>
      <c r="U100">
        <f t="shared" si="17"/>
        <v>236.88661779098223</v>
      </c>
      <c r="V100">
        <f t="shared" si="17"/>
        <v>226.88235640614434</v>
      </c>
      <c r="W100">
        <f t="shared" si="17"/>
        <v>191.33149898502413</v>
      </c>
      <c r="X100">
        <f t="shared" si="17"/>
        <v>163.43696405230017</v>
      </c>
      <c r="Y100">
        <f t="shared" si="17"/>
        <v>211.87596432888753</v>
      </c>
      <c r="Z100">
        <f t="shared" si="17"/>
        <v>246.58462627628427</v>
      </c>
    </row>
    <row r="101" spans="2:26" x14ac:dyDescent="0.25">
      <c r="B101">
        <v>4.53</v>
      </c>
      <c r="C101">
        <f t="shared" ref="C101:Z101" si="18">(((($AC32-EXP(52.57-6690.9/(273.15+$AE32)-4.681*LN(273.15+$AE32)))/1013)*C32/100*0.2095*(48.998-1.335*$AE32+0.02755*POWER($AE32,2)-0.000322*POWER($AE32,3)+0.000001598*POWER($AE32,4))*32/22.414))*31.25</f>
        <v>207.94571878484413</v>
      </c>
      <c r="D101">
        <f t="shared" si="18"/>
        <v>239.31111991230776</v>
      </c>
      <c r="E101">
        <f t="shared" si="18"/>
        <v>162.69685287842185</v>
      </c>
      <c r="F101">
        <f t="shared" si="18"/>
        <v>238.08610831416433</v>
      </c>
      <c r="G101">
        <f t="shared" si="18"/>
        <v>188.65178611408541</v>
      </c>
      <c r="H101">
        <f t="shared" si="18"/>
        <v>189.03460223850519</v>
      </c>
      <c r="I101">
        <f t="shared" si="18"/>
        <v>195.95081355302324</v>
      </c>
      <c r="J101">
        <f t="shared" si="18"/>
        <v>258.06911000887874</v>
      </c>
      <c r="K101">
        <f t="shared" si="18"/>
        <v>242.14395923301441</v>
      </c>
      <c r="L101">
        <f t="shared" si="18"/>
        <v>166.78022487223322</v>
      </c>
      <c r="M101">
        <f t="shared" si="18"/>
        <v>189.80023448734485</v>
      </c>
      <c r="N101">
        <f t="shared" si="18"/>
        <v>166.78022487223322</v>
      </c>
      <c r="O101">
        <f t="shared" si="18"/>
        <v>212.25878045330737</v>
      </c>
      <c r="P101">
        <f t="shared" si="18"/>
        <v>257.63525173453627</v>
      </c>
      <c r="Q101">
        <f t="shared" si="18"/>
        <v>180.30639460173342</v>
      </c>
      <c r="R101">
        <f t="shared" si="18"/>
        <v>226.88235640614434</v>
      </c>
      <c r="S101">
        <f t="shared" si="18"/>
        <v>227.2651725305642</v>
      </c>
      <c r="T101">
        <f t="shared" si="18"/>
        <v>220.11927154139426</v>
      </c>
      <c r="U101">
        <f t="shared" si="18"/>
        <v>236.06994339221995</v>
      </c>
      <c r="V101">
        <f t="shared" si="18"/>
        <v>226.88235640614434</v>
      </c>
      <c r="W101">
        <f t="shared" si="18"/>
        <v>189.80023448734485</v>
      </c>
      <c r="X101">
        <f t="shared" si="18"/>
        <v>162.69685287842185</v>
      </c>
      <c r="Y101">
        <f t="shared" si="18"/>
        <v>211.46762712950647</v>
      </c>
      <c r="Z101">
        <f t="shared" si="18"/>
        <v>245.79347295248326</v>
      </c>
    </row>
    <row r="102" spans="2:26" x14ac:dyDescent="0.25">
      <c r="B102">
        <v>4.8</v>
      </c>
      <c r="C102">
        <f t="shared" ref="C102:Z102" si="19">(((($AC33-EXP(52.57-6690.9/(273.15+$AE33)-4.681*LN(273.15+$AE33)))/1013)*C33/100*0.2095*(48.998-1.335*$AE33+0.02755*POWER($AE33,2)-0.000322*POWER($AE33,3)+0.000001598*POWER($AE33,4))*32/22.414))*31.25</f>
        <v>206.79727041158469</v>
      </c>
      <c r="D102">
        <f t="shared" si="19"/>
        <v>238.90278271292661</v>
      </c>
      <c r="E102">
        <f t="shared" si="19"/>
        <v>161.19110945570392</v>
      </c>
      <c r="F102">
        <f t="shared" si="19"/>
        <v>236.88661779098223</v>
      </c>
      <c r="G102">
        <f t="shared" si="19"/>
        <v>186.76322656694762</v>
      </c>
      <c r="H102">
        <f t="shared" si="19"/>
        <v>188.26896998966555</v>
      </c>
      <c r="I102">
        <f t="shared" si="19"/>
        <v>195.56799742860341</v>
      </c>
      <c r="J102">
        <f t="shared" si="19"/>
        <v>258.47744720825983</v>
      </c>
      <c r="K102">
        <f t="shared" si="19"/>
        <v>241.73562203363321</v>
      </c>
      <c r="L102">
        <f t="shared" si="19"/>
        <v>166.04011369835493</v>
      </c>
      <c r="M102">
        <f t="shared" si="19"/>
        <v>187.50333774082594</v>
      </c>
      <c r="N102">
        <f t="shared" si="19"/>
        <v>166.78022487223322</v>
      </c>
      <c r="O102">
        <f t="shared" si="19"/>
        <v>211.46762712950647</v>
      </c>
      <c r="P102">
        <f t="shared" si="19"/>
        <v>257.63525173453627</v>
      </c>
      <c r="Q102">
        <f t="shared" si="19"/>
        <v>178.77513010405414</v>
      </c>
      <c r="R102">
        <f t="shared" si="19"/>
        <v>227.2651725305642</v>
      </c>
      <c r="S102">
        <f t="shared" si="19"/>
        <v>226.88235640614434</v>
      </c>
      <c r="T102">
        <f t="shared" si="19"/>
        <v>219.32811821759333</v>
      </c>
      <c r="U102">
        <f t="shared" si="19"/>
        <v>237.29495499036335</v>
      </c>
      <c r="V102">
        <f t="shared" si="19"/>
        <v>224.89171255916136</v>
      </c>
      <c r="W102">
        <f t="shared" si="19"/>
        <v>189.03460223850519</v>
      </c>
      <c r="X102">
        <f t="shared" si="19"/>
        <v>162.69685287842185</v>
      </c>
      <c r="Y102">
        <f t="shared" si="19"/>
        <v>209.11968823306492</v>
      </c>
      <c r="Z102">
        <f t="shared" si="19"/>
        <v>246.58462627628427</v>
      </c>
    </row>
    <row r="103" spans="2:26" x14ac:dyDescent="0.25">
      <c r="B103">
        <v>5.05</v>
      </c>
      <c r="C103">
        <f t="shared" ref="C103:Z103" si="20">(((($AC34-EXP(52.57-6690.9/(273.15+$AE34)-4.681*LN(273.15+$AE34)))/1013)*C34/100*0.2095*(48.998-1.335*$AE34+0.02755*POWER($AE34,2)-0.000322*POWER($AE34,3)+0.000001598*POWER($AE34,4))*32/22.414))*31.25</f>
        <v>207.48433547846656</v>
      </c>
      <c r="D103">
        <f t="shared" si="20"/>
        <v>239.22053532295354</v>
      </c>
      <c r="E103">
        <f t="shared" si="20"/>
        <v>160.7729352250457</v>
      </c>
      <c r="F103">
        <f t="shared" si="20"/>
        <v>235.98058566037329</v>
      </c>
      <c r="G103">
        <f t="shared" si="20"/>
        <v>187.43236355100137</v>
      </c>
      <c r="H103">
        <f t="shared" si="20"/>
        <v>188.9630484309605</v>
      </c>
      <c r="I103">
        <f t="shared" si="20"/>
        <v>194.72862814547344</v>
      </c>
      <c r="J103">
        <f t="shared" si="20"/>
        <v>259.19597300642084</v>
      </c>
      <c r="K103">
        <f t="shared" si="20"/>
        <v>241.23593708156648</v>
      </c>
      <c r="L103">
        <f t="shared" si="20"/>
        <v>165.21192137692734</v>
      </c>
      <c r="M103">
        <f t="shared" si="20"/>
        <v>187.07520374567758</v>
      </c>
      <c r="N103">
        <f t="shared" si="20"/>
        <v>166.3344236222307</v>
      </c>
      <c r="O103">
        <f t="shared" si="20"/>
        <v>211.00491070237271</v>
      </c>
      <c r="P103">
        <f t="shared" si="20"/>
        <v>258.37960773710932</v>
      </c>
      <c r="Q103">
        <f t="shared" si="20"/>
        <v>178.70745973523407</v>
      </c>
      <c r="R103">
        <f t="shared" si="20"/>
        <v>225.5974398913169</v>
      </c>
      <c r="S103">
        <f t="shared" si="20"/>
        <v>226.79647638061823</v>
      </c>
      <c r="T103">
        <f t="shared" si="20"/>
        <v>219.24509763948629</v>
      </c>
      <c r="U103">
        <f t="shared" si="20"/>
        <v>237.20513356434066</v>
      </c>
      <c r="V103">
        <f t="shared" si="20"/>
        <v>224.80658603667135</v>
      </c>
      <c r="W103">
        <f t="shared" si="20"/>
        <v>187.81503477099119</v>
      </c>
      <c r="X103">
        <f t="shared" si="20"/>
        <v>162.6352684956627</v>
      </c>
      <c r="Y103">
        <f t="shared" si="20"/>
        <v>208.65786055310195</v>
      </c>
      <c r="Z103">
        <f t="shared" si="20"/>
        <v>247.30765377207123</v>
      </c>
    </row>
    <row r="104" spans="2:26" x14ac:dyDescent="0.25">
      <c r="B104">
        <v>5.3</v>
      </c>
      <c r="C104">
        <f t="shared" ref="C104:Z104" si="21">(((($AC35-EXP(52.57-6690.9/(273.15+$AE35)-4.681*LN(273.15+$AE35)))/1013)*C35/100*0.2095*(48.998-1.335*$AE35+0.02755*POWER($AE35,2)-0.000322*POWER($AE35,3)+0.000001598*POWER($AE35,4))*32/22.414))*31.25</f>
        <v>206.71899303848701</v>
      </c>
      <c r="D104">
        <f t="shared" si="21"/>
        <v>237.58780478433044</v>
      </c>
      <c r="E104">
        <f t="shared" si="21"/>
        <v>159.29327317441846</v>
      </c>
      <c r="F104">
        <f t="shared" si="21"/>
        <v>235.98058566037329</v>
      </c>
      <c r="G104">
        <f t="shared" si="21"/>
        <v>187.07520374567758</v>
      </c>
      <c r="H104">
        <f t="shared" si="21"/>
        <v>187.07520374567758</v>
      </c>
      <c r="I104">
        <f t="shared" si="21"/>
        <v>193.93777429082786</v>
      </c>
      <c r="J104">
        <f t="shared" si="21"/>
        <v>257.53773105313178</v>
      </c>
      <c r="K104">
        <f t="shared" si="21"/>
        <v>241.64411971622226</v>
      </c>
      <c r="L104">
        <f t="shared" si="21"/>
        <v>164.85476157160349</v>
      </c>
      <c r="M104">
        <f t="shared" si="21"/>
        <v>185.92719008570822</v>
      </c>
      <c r="N104">
        <f t="shared" si="21"/>
        <v>165.21192137692734</v>
      </c>
      <c r="O104">
        <f t="shared" si="21"/>
        <v>210.21405684772714</v>
      </c>
      <c r="P104">
        <f t="shared" si="21"/>
        <v>257.97142510245351</v>
      </c>
      <c r="Q104">
        <f t="shared" si="21"/>
        <v>176.8196150499511</v>
      </c>
      <c r="R104">
        <f t="shared" si="21"/>
        <v>224.80658603667135</v>
      </c>
      <c r="S104">
        <f t="shared" si="21"/>
        <v>226.79647638061823</v>
      </c>
      <c r="T104">
        <f t="shared" si="21"/>
        <v>217.28071871020535</v>
      </c>
      <c r="U104">
        <f t="shared" si="21"/>
        <v>236.38876829502911</v>
      </c>
      <c r="V104">
        <f t="shared" si="21"/>
        <v>225.18925725666105</v>
      </c>
      <c r="W104">
        <f t="shared" si="21"/>
        <v>187.43236355100137</v>
      </c>
      <c r="X104">
        <f t="shared" si="21"/>
        <v>161.13009503036949</v>
      </c>
      <c r="Y104">
        <f t="shared" si="21"/>
        <v>207.86700669845641</v>
      </c>
      <c r="Z104">
        <f t="shared" si="21"/>
        <v>247.71583640672702</v>
      </c>
    </row>
    <row r="105" spans="2:26" x14ac:dyDescent="0.25">
      <c r="B105">
        <v>5.55</v>
      </c>
      <c r="C105">
        <f t="shared" ref="C105:Z105" si="22">(((($AC36-EXP(52.57-6690.9/(273.15+$AE36)-4.681*LN(273.15+$AE36)))/1013)*C36/100*0.2095*(48.998-1.335*$AE36+0.02755*POWER($AE36,2)-0.000322*POWER($AE36,3)+0.000001598*POWER($AE36,4))*32/22.414))*31.25</f>
        <v>206.64077182930689</v>
      </c>
      <c r="D105">
        <f t="shared" si="22"/>
        <v>237.11537658507899</v>
      </c>
      <c r="E105">
        <f t="shared" si="22"/>
        <v>159.23299756907218</v>
      </c>
      <c r="F105">
        <f t="shared" si="22"/>
        <v>234.69270926139833</v>
      </c>
      <c r="G105">
        <f t="shared" si="22"/>
        <v>186.6218892073143</v>
      </c>
      <c r="H105">
        <f t="shared" si="22"/>
        <v>187.36144028506939</v>
      </c>
      <c r="I105">
        <f t="shared" si="22"/>
        <v>193.09933657799724</v>
      </c>
      <c r="J105">
        <f t="shared" si="22"/>
        <v>257.44028034269439</v>
      </c>
      <c r="K105">
        <f t="shared" si="22"/>
        <v>241.96071123244022</v>
      </c>
      <c r="L105">
        <f t="shared" si="22"/>
        <v>165.14940619111334</v>
      </c>
      <c r="M105">
        <f t="shared" si="22"/>
        <v>184.70925710967165</v>
      </c>
      <c r="N105">
        <f t="shared" si="22"/>
        <v>164.40985511335816</v>
      </c>
      <c r="O105">
        <f t="shared" si="22"/>
        <v>210.13451312766736</v>
      </c>
      <c r="P105">
        <f t="shared" si="22"/>
        <v>258.28183846565719</v>
      </c>
      <c r="Q105">
        <f t="shared" si="22"/>
        <v>176.75270758347844</v>
      </c>
      <c r="R105">
        <f t="shared" si="22"/>
        <v>225.89460161224235</v>
      </c>
      <c r="S105">
        <f t="shared" si="22"/>
        <v>226.71065797390327</v>
      </c>
      <c r="T105">
        <f t="shared" si="22"/>
        <v>216.40794640793504</v>
      </c>
      <c r="U105">
        <f t="shared" si="22"/>
        <v>236.70734840424853</v>
      </c>
      <c r="V105">
        <f t="shared" si="22"/>
        <v>224.31349241152449</v>
      </c>
      <c r="W105">
        <f t="shared" si="22"/>
        <v>186.6218892073143</v>
      </c>
      <c r="X105">
        <f t="shared" si="22"/>
        <v>161.06912438280909</v>
      </c>
      <c r="Y105">
        <f t="shared" si="22"/>
        <v>206.23274364847643</v>
      </c>
      <c r="Z105">
        <f t="shared" si="22"/>
        <v>246.3980176989711</v>
      </c>
    </row>
    <row r="106" spans="2:26" x14ac:dyDescent="0.25">
      <c r="B106">
        <v>5.8</v>
      </c>
      <c r="C106">
        <f t="shared" ref="C106:Z106" si="23">(((($AC37-EXP(52.57-6690.9/(273.15+$AE37)-4.681*LN(273.15+$AE37)))/1013)*C37/100*0.2095*(48.998-1.335*$AE37+0.02755*POWER($AE37,2)-0.000322*POWER($AE37,3)+0.000001598*POWER($AE37,4))*32/22.414))*31.25</f>
        <v>205.85021722894788</v>
      </c>
      <c r="D106">
        <f t="shared" si="23"/>
        <v>237.49790300460751</v>
      </c>
      <c r="E106">
        <f t="shared" si="23"/>
        <v>157.75389541356191</v>
      </c>
      <c r="F106">
        <f t="shared" si="23"/>
        <v>234.69270926139833</v>
      </c>
      <c r="G106">
        <f t="shared" si="23"/>
        <v>186.23936278778575</v>
      </c>
      <c r="H106">
        <f t="shared" si="23"/>
        <v>187.00441562684281</v>
      </c>
      <c r="I106">
        <f t="shared" si="23"/>
        <v>192.33428373894017</v>
      </c>
      <c r="J106">
        <f t="shared" si="23"/>
        <v>258.68986664648753</v>
      </c>
      <c r="K106">
        <f t="shared" si="23"/>
        <v>241.96071123244022</v>
      </c>
      <c r="L106">
        <f t="shared" si="23"/>
        <v>164.79238153288671</v>
      </c>
      <c r="M106">
        <f t="shared" si="23"/>
        <v>184.32673069014314</v>
      </c>
      <c r="N106">
        <f t="shared" si="23"/>
        <v>164.05283045513156</v>
      </c>
      <c r="O106">
        <f t="shared" si="23"/>
        <v>210.13451312766736</v>
      </c>
      <c r="P106">
        <f t="shared" si="23"/>
        <v>258.28183846565719</v>
      </c>
      <c r="Q106">
        <f t="shared" si="23"/>
        <v>175.6306300861948</v>
      </c>
      <c r="R106">
        <f t="shared" si="23"/>
        <v>225.51207519271387</v>
      </c>
      <c r="S106">
        <f t="shared" si="23"/>
        <v>225.51207519271387</v>
      </c>
      <c r="T106">
        <f t="shared" si="23"/>
        <v>216.81597458876547</v>
      </c>
      <c r="U106">
        <f t="shared" si="23"/>
        <v>237.49790300460751</v>
      </c>
      <c r="V106">
        <f t="shared" si="23"/>
        <v>224.72152059235492</v>
      </c>
      <c r="W106">
        <f t="shared" si="23"/>
        <v>185.0917835292002</v>
      </c>
      <c r="X106">
        <f t="shared" si="23"/>
        <v>160.71209972458246</v>
      </c>
      <c r="Y106">
        <f t="shared" si="23"/>
        <v>204.67713620906048</v>
      </c>
      <c r="Z106">
        <f t="shared" si="23"/>
        <v>246.8060458798015</v>
      </c>
    </row>
    <row r="107" spans="2:26" x14ac:dyDescent="0.25">
      <c r="B107">
        <v>6.05</v>
      </c>
      <c r="C107">
        <f t="shared" ref="C107:Z107" si="24">(((($AC38-EXP(52.57-6690.9/(273.15+$AE38)-4.681*LN(273.15+$AE38)))/1013)*C38/100*0.2095*(48.998-1.335*$AE38+0.02755*POWER($AE38,2)-0.000322*POWER($AE38,3)+0.000001598*POWER($AE38,4))*32/22.414))*31.25</f>
        <v>205.85021722894788</v>
      </c>
      <c r="D107">
        <f t="shared" si="24"/>
        <v>237.11537658507899</v>
      </c>
      <c r="E107">
        <f t="shared" si="24"/>
        <v>158.11092007178854</v>
      </c>
      <c r="F107">
        <f t="shared" si="24"/>
        <v>234.69270926139833</v>
      </c>
      <c r="G107">
        <f t="shared" si="24"/>
        <v>185.85683636825721</v>
      </c>
      <c r="H107">
        <f t="shared" si="24"/>
        <v>187.00441562684281</v>
      </c>
      <c r="I107">
        <f t="shared" si="24"/>
        <v>191.95175731941166</v>
      </c>
      <c r="J107">
        <f t="shared" si="24"/>
        <v>258.68986664648753</v>
      </c>
      <c r="K107">
        <f t="shared" si="24"/>
        <v>241.96071123244022</v>
      </c>
      <c r="L107">
        <f t="shared" si="24"/>
        <v>164.05283045513156</v>
      </c>
      <c r="M107">
        <f t="shared" si="24"/>
        <v>183.56167785108613</v>
      </c>
      <c r="N107">
        <f t="shared" si="24"/>
        <v>162.93075295784789</v>
      </c>
      <c r="O107">
        <f t="shared" si="24"/>
        <v>210.54254130849776</v>
      </c>
      <c r="P107">
        <f t="shared" si="24"/>
        <v>257.87381028482673</v>
      </c>
      <c r="Q107">
        <f t="shared" si="24"/>
        <v>176.01315650572326</v>
      </c>
      <c r="R107">
        <f t="shared" si="24"/>
        <v>224.72152059235492</v>
      </c>
      <c r="S107">
        <f t="shared" si="24"/>
        <v>225.51207519271387</v>
      </c>
      <c r="T107">
        <f t="shared" si="24"/>
        <v>216.02541998840658</v>
      </c>
      <c r="U107">
        <f t="shared" si="24"/>
        <v>236.70734840424853</v>
      </c>
      <c r="V107">
        <f t="shared" si="24"/>
        <v>224.31349241152449</v>
      </c>
      <c r="W107">
        <f t="shared" si="24"/>
        <v>185.0917835292002</v>
      </c>
      <c r="X107">
        <f t="shared" si="24"/>
        <v>159.59002222729879</v>
      </c>
      <c r="Y107">
        <f t="shared" si="24"/>
        <v>203.5295569504749</v>
      </c>
      <c r="Z107">
        <f t="shared" si="24"/>
        <v>247.21407406063193</v>
      </c>
    </row>
    <row r="108" spans="2:26" x14ac:dyDescent="0.25">
      <c r="B108">
        <v>6.3</v>
      </c>
      <c r="C108">
        <f t="shared" ref="C108:Z108" si="25">(((($AC39-EXP(52.57-6690.9/(273.15+$AE39)-4.681*LN(273.15+$AE39)))/1013)*C39/100*0.2095*(48.998-1.335*$AE39+0.02755*POWER($AE39,2)-0.000322*POWER($AE39,3)+0.000001598*POWER($AE39,4))*32/22.414))*31.25</f>
        <v>205.08516438989085</v>
      </c>
      <c r="D108">
        <f t="shared" si="25"/>
        <v>236.70734840424853</v>
      </c>
      <c r="E108">
        <f t="shared" si="25"/>
        <v>156.65731967758015</v>
      </c>
      <c r="F108">
        <f t="shared" si="25"/>
        <v>233.49412648020899</v>
      </c>
      <c r="G108">
        <f t="shared" si="25"/>
        <v>185.47430994872872</v>
      </c>
      <c r="H108">
        <f t="shared" si="25"/>
        <v>185.85683636825721</v>
      </c>
      <c r="I108">
        <f t="shared" si="25"/>
        <v>191.56923089988317</v>
      </c>
      <c r="J108">
        <f t="shared" si="25"/>
        <v>258.68986664648753</v>
      </c>
      <c r="K108">
        <f t="shared" si="25"/>
        <v>240.73662668994899</v>
      </c>
      <c r="L108">
        <f t="shared" si="25"/>
        <v>163.3132793773764</v>
      </c>
      <c r="M108">
        <f t="shared" si="25"/>
        <v>181.67454751474537</v>
      </c>
      <c r="N108">
        <f t="shared" si="25"/>
        <v>162.93075295784789</v>
      </c>
      <c r="O108">
        <f t="shared" si="25"/>
        <v>209.36946028861027</v>
      </c>
      <c r="P108">
        <f t="shared" si="25"/>
        <v>258.68986664648753</v>
      </c>
      <c r="Q108">
        <f t="shared" si="25"/>
        <v>174.50855258891116</v>
      </c>
      <c r="R108">
        <f t="shared" si="25"/>
        <v>224.72152059235492</v>
      </c>
      <c r="S108">
        <f t="shared" si="25"/>
        <v>224.72152059235492</v>
      </c>
      <c r="T108">
        <f t="shared" si="25"/>
        <v>215.61739180757607</v>
      </c>
      <c r="U108">
        <f t="shared" si="25"/>
        <v>236.70734840424853</v>
      </c>
      <c r="V108">
        <f t="shared" si="25"/>
        <v>224.31349241152449</v>
      </c>
      <c r="W108">
        <f t="shared" si="25"/>
        <v>185.47430994872872</v>
      </c>
      <c r="X108">
        <f t="shared" si="25"/>
        <v>159.59002222729879</v>
      </c>
      <c r="Y108">
        <f t="shared" si="25"/>
        <v>202.35647593058735</v>
      </c>
      <c r="Z108">
        <f t="shared" si="25"/>
        <v>247.62210224146236</v>
      </c>
    </row>
    <row r="109" spans="2:26" x14ac:dyDescent="0.25">
      <c r="B109">
        <v>6.55</v>
      </c>
      <c r="C109">
        <f t="shared" ref="C109:Z109" si="26">(((($AC40-EXP(52.57-6690.9/(273.15+$AE40)-4.681*LN(273.15+$AE40)))/1013)*C40/100*0.2095*(48.998-1.335*$AE40+0.02755*POWER($AE40,2)-0.000322*POWER($AE40,3)+0.000001598*POWER($AE40,4))*32/22.414))*31.25</f>
        <v>204.59971387516535</v>
      </c>
      <c r="D109">
        <f t="shared" si="26"/>
        <v>236.61781014070326</v>
      </c>
      <c r="E109">
        <f t="shared" si="26"/>
        <v>156.21567986880302</v>
      </c>
      <c r="F109">
        <f t="shared" si="26"/>
        <v>233.40580366820504</v>
      </c>
      <c r="G109">
        <f t="shared" si="26"/>
        <v>183.87462449309336</v>
      </c>
      <c r="H109">
        <f t="shared" si="26"/>
        <v>185.40415138475919</v>
      </c>
      <c r="I109">
        <f t="shared" si="26"/>
        <v>190.73200339072852</v>
      </c>
      <c r="J109">
        <f t="shared" si="26"/>
        <v>257.77626547541388</v>
      </c>
      <c r="K109">
        <f t="shared" si="26"/>
        <v>241.46131196431176</v>
      </c>
      <c r="L109">
        <f t="shared" si="26"/>
        <v>162.86912184754934</v>
      </c>
      <c r="M109">
        <f t="shared" si="26"/>
        <v>180.84106282462278</v>
      </c>
      <c r="N109">
        <f t="shared" si="26"/>
        <v>162.12985051657756</v>
      </c>
      <c r="O109">
        <f t="shared" si="26"/>
        <v>208.88238917182963</v>
      </c>
      <c r="P109">
        <f t="shared" si="26"/>
        <v>258.59201315096902</v>
      </c>
      <c r="Q109">
        <f t="shared" si="26"/>
        <v>173.67777854865454</v>
      </c>
      <c r="R109">
        <f t="shared" si="26"/>
        <v>223.84626059529361</v>
      </c>
      <c r="S109">
        <f t="shared" si="26"/>
        <v>224.63651615598766</v>
      </c>
      <c r="T109">
        <f t="shared" si="26"/>
        <v>215.15344942765952</v>
      </c>
      <c r="U109">
        <f t="shared" si="26"/>
        <v>237.40806570139728</v>
      </c>
      <c r="V109">
        <f t="shared" si="26"/>
        <v>223.4383867575161</v>
      </c>
      <c r="W109">
        <f t="shared" si="26"/>
        <v>184.25700621600984</v>
      </c>
      <c r="X109">
        <f t="shared" si="26"/>
        <v>159.52965480074562</v>
      </c>
      <c r="Y109">
        <f t="shared" si="26"/>
        <v>201.89754969988905</v>
      </c>
      <c r="Z109">
        <f t="shared" si="26"/>
        <v>245.92243206500373</v>
      </c>
    </row>
    <row r="110" spans="2:26" x14ac:dyDescent="0.25">
      <c r="B110">
        <v>6.8</v>
      </c>
      <c r="C110">
        <f t="shared" ref="C110:Z110" si="27">(((($AC41-EXP(52.57-6690.9/(273.15+$AE41)-4.681*LN(273.15+$AE41)))/1013)*C41/100*0.2095*(48.998-1.335*$AE41+0.02755*POWER($AE41,2)-0.000322*POWER($AE41,3)+0.000001598*POWER($AE41,4))*32/22.414))*31.25</f>
        <v>204.56102352558563</v>
      </c>
      <c r="D110">
        <f t="shared" si="27"/>
        <v>235.7574716685356</v>
      </c>
      <c r="E110">
        <f t="shared" si="27"/>
        <v>154.70787600302825</v>
      </c>
      <c r="F110">
        <f t="shared" si="27"/>
        <v>232.16376318148019</v>
      </c>
      <c r="G110">
        <f t="shared" si="27"/>
        <v>184.2221627265055</v>
      </c>
      <c r="H110">
        <f t="shared" si="27"/>
        <v>184.60447214002204</v>
      </c>
      <c r="I110">
        <f t="shared" si="27"/>
        <v>191.46055428908539</v>
      </c>
      <c r="J110">
        <f t="shared" si="27"/>
        <v>258.54311271412166</v>
      </c>
      <c r="K110">
        <f t="shared" si="27"/>
        <v>242.20575710984801</v>
      </c>
      <c r="L110">
        <f t="shared" si="27"/>
        <v>162.48150074453133</v>
      </c>
      <c r="M110">
        <f t="shared" si="27"/>
        <v>180.42455588557445</v>
      </c>
      <c r="N110">
        <f t="shared" si="27"/>
        <v>160.62092826541746</v>
      </c>
      <c r="O110">
        <f t="shared" si="27"/>
        <v>208.4605795434544</v>
      </c>
      <c r="P110">
        <f t="shared" si="27"/>
        <v>258.54311271412166</v>
      </c>
      <c r="Q110">
        <f t="shared" si="27"/>
        <v>172.90580408641577</v>
      </c>
      <c r="R110">
        <f t="shared" si="27"/>
        <v>223.01382455131753</v>
      </c>
      <c r="S110">
        <f t="shared" si="27"/>
        <v>224.18624008610155</v>
      </c>
      <c r="T110">
        <f t="shared" si="27"/>
        <v>213.53255109610723</v>
      </c>
      <c r="U110">
        <f t="shared" si="27"/>
        <v>236.57306508403761</v>
      </c>
      <c r="V110">
        <f t="shared" si="27"/>
        <v>222.60602784356652</v>
      </c>
      <c r="W110">
        <f t="shared" si="27"/>
        <v>181.57148412612409</v>
      </c>
      <c r="X110">
        <f t="shared" si="27"/>
        <v>158.40353366702152</v>
      </c>
      <c r="Y110">
        <f t="shared" si="27"/>
        <v>200.30464538843478</v>
      </c>
      <c r="Z110">
        <f t="shared" si="27"/>
        <v>246.25823689312341</v>
      </c>
    </row>
    <row r="111" spans="2:26" x14ac:dyDescent="0.25">
      <c r="B111">
        <v>7.05</v>
      </c>
      <c r="C111">
        <f t="shared" ref="C111:Z111" si="28">(((($AC42-EXP(52.57-6690.9/(273.15+$AE42)-4.681*LN(273.15+$AE42)))/1013)*C42/100*0.2095*(48.998-1.335*$AE42+0.02755*POWER($AE42,2)-0.000322*POWER($AE42,3)+0.000001598*POWER($AE42,4))*32/22.414))*31.25</f>
        <v>204.59971387516535</v>
      </c>
      <c r="D111">
        <f t="shared" si="28"/>
        <v>236.20993630292568</v>
      </c>
      <c r="E111">
        <f t="shared" si="28"/>
        <v>154.73713720685944</v>
      </c>
      <c r="F111">
        <f t="shared" si="28"/>
        <v>231.79980043195596</v>
      </c>
      <c r="G111">
        <f t="shared" si="28"/>
        <v>184.63938793892635</v>
      </c>
      <c r="H111">
        <f t="shared" si="28"/>
        <v>184.63938793892635</v>
      </c>
      <c r="I111">
        <f t="shared" si="28"/>
        <v>190.34962166781204</v>
      </c>
      <c r="J111">
        <f t="shared" si="28"/>
        <v>258.18413931319145</v>
      </c>
      <c r="K111">
        <f t="shared" si="28"/>
        <v>241.86918580208928</v>
      </c>
      <c r="L111">
        <f t="shared" si="28"/>
        <v>162.12985051657756</v>
      </c>
      <c r="M111">
        <f t="shared" si="28"/>
        <v>178.95464632490163</v>
      </c>
      <c r="N111">
        <f t="shared" si="28"/>
        <v>161.00819746268925</v>
      </c>
      <c r="O111">
        <f t="shared" si="28"/>
        <v>208.50000744891318</v>
      </c>
      <c r="P111">
        <f t="shared" si="28"/>
        <v>258.59201315096902</v>
      </c>
      <c r="Q111">
        <f t="shared" si="28"/>
        <v>172.19923588671091</v>
      </c>
      <c r="R111">
        <f t="shared" si="28"/>
        <v>223.4383867575161</v>
      </c>
      <c r="S111">
        <f t="shared" si="28"/>
        <v>223.84626059529361</v>
      </c>
      <c r="T111">
        <f t="shared" si="28"/>
        <v>213.98081214404905</v>
      </c>
      <c r="U111">
        <f t="shared" si="28"/>
        <v>237.02568397848083</v>
      </c>
      <c r="V111">
        <f t="shared" si="28"/>
        <v>223.05600503459962</v>
      </c>
      <c r="W111">
        <f t="shared" si="28"/>
        <v>181.98820799337221</v>
      </c>
      <c r="X111">
        <f t="shared" si="28"/>
        <v>158.43349386171846</v>
      </c>
      <c r="Y111">
        <f t="shared" si="28"/>
        <v>199.57776724752921</v>
      </c>
      <c r="Z111">
        <f t="shared" si="28"/>
        <v>246.71268762569775</v>
      </c>
    </row>
    <row r="112" spans="2:26" x14ac:dyDescent="0.25">
      <c r="B112">
        <v>7.3</v>
      </c>
      <c r="C112">
        <f t="shared" ref="C112:Z112" si="29">(((($AC43-EXP(52.57-6690.9/(273.15+$AE43)-4.681*LN(273.15+$AE43)))/1013)*C43/100*0.2095*(48.998-1.335*$AE43+0.02755*POWER($AE43,2)-0.000322*POWER($AE43,3)+0.000001598*POWER($AE43,4))*32/22.414))*31.25</f>
        <v>203.41409528503598</v>
      </c>
      <c r="D112">
        <f t="shared" si="29"/>
        <v>235.7574716685356</v>
      </c>
      <c r="E112">
        <f t="shared" si="29"/>
        <v>153.99423176446405</v>
      </c>
      <c r="F112">
        <f t="shared" si="29"/>
        <v>232.16376318148019</v>
      </c>
      <c r="G112">
        <f t="shared" si="29"/>
        <v>184.60447214002204</v>
      </c>
      <c r="H112">
        <f t="shared" si="29"/>
        <v>184.2221627265055</v>
      </c>
      <c r="I112">
        <f t="shared" si="29"/>
        <v>189.93131663501919</v>
      </c>
      <c r="J112">
        <f t="shared" si="29"/>
        <v>258.54311271412166</v>
      </c>
      <c r="K112">
        <f t="shared" si="29"/>
        <v>241.82344769633147</v>
      </c>
      <c r="L112">
        <f t="shared" si="29"/>
        <v>161.36005979821613</v>
      </c>
      <c r="M112">
        <f t="shared" si="29"/>
        <v>178.1816739929441</v>
      </c>
      <c r="N112">
        <f t="shared" si="29"/>
        <v>160.23861885190092</v>
      </c>
      <c r="O112">
        <f t="shared" si="29"/>
        <v>208.4605795434544</v>
      </c>
      <c r="P112">
        <f t="shared" si="29"/>
        <v>258.13531600637066</v>
      </c>
      <c r="Q112">
        <f t="shared" si="29"/>
        <v>172.5234946728992</v>
      </c>
      <c r="R112">
        <f t="shared" si="29"/>
        <v>222.60602784356652</v>
      </c>
      <c r="S112">
        <f t="shared" si="29"/>
        <v>223.39613396483406</v>
      </c>
      <c r="T112">
        <f t="shared" si="29"/>
        <v>213.1502416825906</v>
      </c>
      <c r="U112">
        <f t="shared" si="29"/>
        <v>237.36317120530512</v>
      </c>
      <c r="V112">
        <f t="shared" si="29"/>
        <v>222.60602784356652</v>
      </c>
      <c r="W112">
        <f t="shared" si="29"/>
        <v>182.71841236667368</v>
      </c>
      <c r="X112">
        <f t="shared" si="29"/>
        <v>158.40353366702152</v>
      </c>
      <c r="Y112">
        <f t="shared" si="29"/>
        <v>198.77540773436857</v>
      </c>
      <c r="Z112">
        <f t="shared" si="29"/>
        <v>246.66603360087439</v>
      </c>
    </row>
    <row r="113" spans="2:26" x14ac:dyDescent="0.25">
      <c r="B113">
        <v>7.55</v>
      </c>
      <c r="C113">
        <f t="shared" ref="C113:Z113" si="30">(((($AC44-EXP(52.57-6690.9/(273.15+$AE44)-4.681*LN(273.15+$AE44)))/1013)*C44/100*0.2095*(48.998-1.335*$AE44+0.02755*POWER($AE44,2)-0.000322*POWER($AE44,3)+0.000001598*POWER($AE44,4))*32/22.414))*31.25</f>
        <v>203.33718980386976</v>
      </c>
      <c r="D113">
        <f t="shared" si="30"/>
        <v>234.06324554919831</v>
      </c>
      <c r="E113">
        <f t="shared" si="30"/>
        <v>153.19715853786104</v>
      </c>
      <c r="F113">
        <f t="shared" si="30"/>
        <v>231.66834568181778</v>
      </c>
      <c r="G113">
        <f t="shared" si="30"/>
        <v>183.77034833420777</v>
      </c>
      <c r="H113">
        <f t="shared" si="30"/>
        <v>183.00601858929915</v>
      </c>
      <c r="I113">
        <f t="shared" si="30"/>
        <v>188.71301401795054</v>
      </c>
      <c r="J113">
        <f t="shared" si="30"/>
        <v>258.03772188116693</v>
      </c>
      <c r="K113">
        <f t="shared" si="30"/>
        <v>241.32437812583061</v>
      </c>
      <c r="L113">
        <f t="shared" si="30"/>
        <v>161.29905383389294</v>
      </c>
      <c r="M113">
        <f t="shared" si="30"/>
        <v>178.11430822188365</v>
      </c>
      <c r="N113">
        <f t="shared" si="30"/>
        <v>159.43918478794848</v>
      </c>
      <c r="O113">
        <f t="shared" si="30"/>
        <v>208.38176612026703</v>
      </c>
      <c r="P113">
        <f t="shared" si="30"/>
        <v>258.44536441178485</v>
      </c>
      <c r="Q113">
        <f t="shared" si="30"/>
        <v>171.33725115036012</v>
      </c>
      <c r="R113">
        <f t="shared" si="30"/>
        <v>221.32441646738715</v>
      </c>
      <c r="S113">
        <f t="shared" si="30"/>
        <v>222.52186640107743</v>
      </c>
      <c r="T113">
        <f t="shared" si="30"/>
        <v>212.68749034991916</v>
      </c>
      <c r="U113">
        <f t="shared" si="30"/>
        <v>237.27343047781468</v>
      </c>
      <c r="V113">
        <f t="shared" si="30"/>
        <v>220.94225159493277</v>
      </c>
      <c r="W113">
        <f t="shared" si="30"/>
        <v>181.88500163009979</v>
      </c>
      <c r="X113">
        <f t="shared" si="30"/>
        <v>157.24810618587699</v>
      </c>
      <c r="Y113">
        <f t="shared" si="30"/>
        <v>198.31809114563617</v>
      </c>
      <c r="Z113">
        <f t="shared" si="30"/>
        <v>246.16513317691886</v>
      </c>
    </row>
    <row r="114" spans="2:26" x14ac:dyDescent="0.25">
      <c r="B114">
        <v>7.8</v>
      </c>
      <c r="C114">
        <f t="shared" ref="C114:Z114" si="31">(((($AC45-EXP(52.57-6690.9/(273.15+$AE45)-4.681*LN(273.15+$AE45)))/1013)*C45/100*0.2095*(48.998-1.335*$AE45+0.02755*POWER($AE45,2)-0.000322*POWER($AE45,3)+0.000001598*POWER($AE45,4))*32/22.414))*31.25</f>
        <v>202.6239891637685</v>
      </c>
      <c r="D114">
        <f t="shared" si="31"/>
        <v>234.15177213176617</v>
      </c>
      <c r="E114">
        <f t="shared" si="31"/>
        <v>152.51596869886674</v>
      </c>
      <c r="F114">
        <f t="shared" si="31"/>
        <v>230.96586035246165</v>
      </c>
      <c r="G114">
        <f t="shared" si="31"/>
        <v>183.45754389947243</v>
      </c>
      <c r="H114">
        <f t="shared" si="31"/>
        <v>182.71841236667368</v>
      </c>
      <c r="I114">
        <f t="shared" si="31"/>
        <v>188.01976956743647</v>
      </c>
      <c r="J114">
        <f t="shared" si="31"/>
        <v>259.35870612962367</v>
      </c>
      <c r="K114">
        <f t="shared" si="31"/>
        <v>242.61355381759898</v>
      </c>
      <c r="L114">
        <f t="shared" si="31"/>
        <v>161.36005979821613</v>
      </c>
      <c r="M114">
        <f t="shared" si="31"/>
        <v>177.41705516591097</v>
      </c>
      <c r="N114">
        <f t="shared" si="31"/>
        <v>159.49948731910226</v>
      </c>
      <c r="O114">
        <f t="shared" si="31"/>
        <v>208.84288895697091</v>
      </c>
      <c r="P114">
        <f t="shared" si="31"/>
        <v>258.95090942187267</v>
      </c>
      <c r="Q114">
        <f t="shared" si="31"/>
        <v>170.66292219378533</v>
      </c>
      <c r="R114">
        <f t="shared" si="31"/>
        <v>222.19823113581555</v>
      </c>
      <c r="S114">
        <f t="shared" si="31"/>
        <v>224.18624008610155</v>
      </c>
      <c r="T114">
        <f t="shared" si="31"/>
        <v>212.36013556132309</v>
      </c>
      <c r="U114">
        <f t="shared" si="31"/>
        <v>237.36317120530512</v>
      </c>
      <c r="V114">
        <f t="shared" si="31"/>
        <v>221.81592172229901</v>
      </c>
      <c r="W114">
        <f t="shared" si="31"/>
        <v>181.9537935396406</v>
      </c>
      <c r="X114">
        <f t="shared" si="31"/>
        <v>156.92527060142422</v>
      </c>
      <c r="Y114">
        <f t="shared" si="31"/>
        <v>197.98530161310106</v>
      </c>
      <c r="Z114">
        <f t="shared" si="31"/>
        <v>246.66603360087439</v>
      </c>
    </row>
    <row r="115" spans="2:26" x14ac:dyDescent="0.25">
      <c r="B115">
        <v>8.0500000000000007</v>
      </c>
      <c r="C115">
        <f t="shared" ref="C115:Z115" si="32">(((($AC46-EXP(52.57-6690.9/(273.15+$AE46)-4.681*LN(273.15+$AE46)))/1013)*C46/100*0.2095*(48.998-1.335*$AE46+0.02755*POWER($AE46,2)-0.000322*POWER($AE46,3)+0.000001598*POWER($AE46,4))*32/22.414))*31.25</f>
        <v>202.16521752834311</v>
      </c>
      <c r="D115">
        <f t="shared" si="32"/>
        <v>234.06324554919831</v>
      </c>
      <c r="E115">
        <f t="shared" si="32"/>
        <v>151.3627671500802</v>
      </c>
      <c r="F115">
        <f t="shared" si="32"/>
        <v>230.06325321750955</v>
      </c>
      <c r="G115">
        <f t="shared" si="32"/>
        <v>182.26716650255409</v>
      </c>
      <c r="H115">
        <f t="shared" si="32"/>
        <v>182.26716650255409</v>
      </c>
      <c r="I115">
        <f t="shared" si="32"/>
        <v>186.82766731384248</v>
      </c>
      <c r="J115">
        <f t="shared" si="32"/>
        <v>258.44536441178485</v>
      </c>
      <c r="K115">
        <f t="shared" si="32"/>
        <v>241.32437812583061</v>
      </c>
      <c r="L115">
        <f t="shared" si="32"/>
        <v>160.56020174714789</v>
      </c>
      <c r="M115">
        <f t="shared" si="32"/>
        <v>176.22896151777562</v>
      </c>
      <c r="N115">
        <f t="shared" si="32"/>
        <v>158.34364548691275</v>
      </c>
      <c r="O115">
        <f t="shared" si="32"/>
        <v>207.99960124781268</v>
      </c>
      <c r="P115">
        <f t="shared" si="32"/>
        <v>258.85300694240277</v>
      </c>
      <c r="Q115">
        <f t="shared" si="32"/>
        <v>169.85954697687006</v>
      </c>
      <c r="R115">
        <f t="shared" si="32"/>
        <v>221.7320589980051</v>
      </c>
      <c r="S115">
        <f t="shared" si="32"/>
        <v>222.1142238704594</v>
      </c>
      <c r="T115">
        <f t="shared" si="32"/>
        <v>211.51551807439256</v>
      </c>
      <c r="U115">
        <f t="shared" si="32"/>
        <v>237.68107300843266</v>
      </c>
      <c r="V115">
        <f t="shared" si="32"/>
        <v>221.7320589980051</v>
      </c>
      <c r="W115">
        <f t="shared" si="32"/>
        <v>181.50283675764541</v>
      </c>
      <c r="X115">
        <f t="shared" si="32"/>
        <v>157.24810618587699</v>
      </c>
      <c r="Y115">
        <f t="shared" si="32"/>
        <v>196.38178912520087</v>
      </c>
      <c r="Z115">
        <f t="shared" si="32"/>
        <v>245.78296830446456</v>
      </c>
    </row>
    <row r="116" spans="2:26" x14ac:dyDescent="0.25">
      <c r="B116">
        <v>8.3000000000000007</v>
      </c>
      <c r="C116">
        <f t="shared" ref="C116:Z116" si="33">(((($AC47-EXP(52.57-6690.9/(273.15+$AE47)-4.681*LN(273.15+$AE47)))/1013)*C47/100*0.2095*(48.998-1.335*$AE47+0.02755*POWER($AE47,2)-0.000322*POWER($AE47,3)+0.000001598*POWER($AE47,4))*32/22.414))*31.25</f>
        <v>201.78305265588881</v>
      </c>
      <c r="D116">
        <f t="shared" si="33"/>
        <v>233.68108067674393</v>
      </c>
      <c r="E116">
        <f t="shared" si="33"/>
        <v>151.0060799357895</v>
      </c>
      <c r="F116">
        <f t="shared" si="33"/>
        <v>230.06325321750955</v>
      </c>
      <c r="G116">
        <f t="shared" si="33"/>
        <v>182.26716650255409</v>
      </c>
      <c r="H116">
        <f t="shared" si="33"/>
        <v>181.88500163009979</v>
      </c>
      <c r="I116">
        <f t="shared" si="33"/>
        <v>186.44550244138821</v>
      </c>
      <c r="J116">
        <f t="shared" si="33"/>
        <v>259.26064947302075</v>
      </c>
      <c r="K116">
        <f t="shared" si="33"/>
        <v>242.11418552890294</v>
      </c>
      <c r="L116">
        <f t="shared" si="33"/>
        <v>159.82134966040286</v>
      </c>
      <c r="M116">
        <f t="shared" si="33"/>
        <v>175.08246690041261</v>
      </c>
      <c r="N116">
        <f t="shared" si="33"/>
        <v>158.34364548691275</v>
      </c>
      <c r="O116">
        <f t="shared" si="33"/>
        <v>206.82762897228605</v>
      </c>
      <c r="P116">
        <f t="shared" si="33"/>
        <v>258.85300694240277</v>
      </c>
      <c r="Q116">
        <f t="shared" si="33"/>
        <v>169.47738210441571</v>
      </c>
      <c r="R116">
        <f t="shared" si="33"/>
        <v>221.32441646738715</v>
      </c>
      <c r="S116">
        <f t="shared" si="33"/>
        <v>222.92950893169532</v>
      </c>
      <c r="T116">
        <f t="shared" si="33"/>
        <v>210.72571067132023</v>
      </c>
      <c r="U116">
        <f t="shared" si="33"/>
        <v>237.68107300843266</v>
      </c>
      <c r="V116">
        <f t="shared" si="33"/>
        <v>220.94225159493277</v>
      </c>
      <c r="W116">
        <f t="shared" si="33"/>
        <v>180.73850701273679</v>
      </c>
      <c r="X116">
        <f t="shared" si="33"/>
        <v>156.86594131342267</v>
      </c>
      <c r="Y116">
        <f t="shared" si="33"/>
        <v>196.76395399765519</v>
      </c>
      <c r="Z116">
        <f t="shared" si="33"/>
        <v>246.16513317691886</v>
      </c>
    </row>
    <row r="117" spans="2:26" x14ac:dyDescent="0.25">
      <c r="B117">
        <v>8.5500000000000007</v>
      </c>
      <c r="C117">
        <f t="shared" ref="C117:Z117" si="34">(((($AC48-EXP(52.57-6690.9/(273.15+$AE48)-4.681*LN(273.15+$AE48)))/1013)*C48/100*0.2095*(48.998-1.335*$AE48+0.02755*POWER($AE48,2)-0.000322*POWER($AE48,3)+0.000001598*POWER($AE48,4))*32/22.414))*31.25</f>
        <v>201.78305265588881</v>
      </c>
      <c r="D117">
        <f t="shared" si="34"/>
        <v>234.06324554919831</v>
      </c>
      <c r="E117">
        <f t="shared" si="34"/>
        <v>149.91054063475374</v>
      </c>
      <c r="F117">
        <f t="shared" si="34"/>
        <v>229.68108834505526</v>
      </c>
      <c r="G117">
        <f t="shared" si="34"/>
        <v>182.26716650255409</v>
      </c>
      <c r="H117">
        <f t="shared" si="34"/>
        <v>181.12067188519111</v>
      </c>
      <c r="I117">
        <f t="shared" si="34"/>
        <v>186.44550244138821</v>
      </c>
      <c r="J117">
        <f t="shared" si="34"/>
        <v>258.03772188116693</v>
      </c>
      <c r="K117">
        <f t="shared" si="34"/>
        <v>241.73202065644864</v>
      </c>
      <c r="L117">
        <f t="shared" si="34"/>
        <v>159.08249757365778</v>
      </c>
      <c r="M117">
        <f t="shared" si="34"/>
        <v>173.96144994121317</v>
      </c>
      <c r="N117">
        <f t="shared" si="34"/>
        <v>157.60479340016767</v>
      </c>
      <c r="O117">
        <f t="shared" si="34"/>
        <v>206.03782156921372</v>
      </c>
      <c r="P117">
        <f t="shared" si="34"/>
        <v>258.44536441178485</v>
      </c>
      <c r="Q117">
        <f t="shared" si="34"/>
        <v>169.47738210441571</v>
      </c>
      <c r="R117">
        <f t="shared" si="34"/>
        <v>221.32441646738715</v>
      </c>
      <c r="S117">
        <f t="shared" si="34"/>
        <v>222.1142238704594</v>
      </c>
      <c r="T117">
        <f t="shared" si="34"/>
        <v>210.72571067132023</v>
      </c>
      <c r="U117">
        <f t="shared" si="34"/>
        <v>237.68107300843266</v>
      </c>
      <c r="V117">
        <f t="shared" si="34"/>
        <v>220.94225159493277</v>
      </c>
      <c r="W117">
        <f t="shared" si="34"/>
        <v>181.12067188519111</v>
      </c>
      <c r="X117">
        <f t="shared" si="34"/>
        <v>156.12708922667761</v>
      </c>
      <c r="Y117">
        <f t="shared" si="34"/>
        <v>194.85312963538354</v>
      </c>
      <c r="Z117">
        <f t="shared" si="34"/>
        <v>246.57277570753689</v>
      </c>
    </row>
    <row r="118" spans="2:26" x14ac:dyDescent="0.25">
      <c r="B118">
        <v>8.8000000000000007</v>
      </c>
      <c r="C118">
        <f t="shared" ref="C118:Z118" si="35">(((($AC49-EXP(52.57-6690.9/(273.15+$AE49)-4.681*LN(273.15+$AE49)))/1013)*C49/100*0.2095*(48.998-1.335*$AE49+0.02755*POWER($AE49,2)-0.000322*POWER($AE49,3)+0.000001598*POWER($AE49,4))*32/22.414))*31.25</f>
        <v>200.53526031599324</v>
      </c>
      <c r="D118">
        <f t="shared" si="35"/>
        <v>233.59276195304673</v>
      </c>
      <c r="E118">
        <f t="shared" si="35"/>
        <v>149.47186217863404</v>
      </c>
      <c r="F118">
        <f t="shared" si="35"/>
        <v>228.39728403782416</v>
      </c>
      <c r="G118">
        <f t="shared" si="35"/>
        <v>181.05221813390858</v>
      </c>
      <c r="H118">
        <f t="shared" si="35"/>
        <v>181.05221813390858</v>
      </c>
      <c r="I118">
        <f t="shared" si="35"/>
        <v>185.61099532422637</v>
      </c>
      <c r="J118">
        <f t="shared" si="35"/>
        <v>257.94019767340353</v>
      </c>
      <c r="K118">
        <f t="shared" si="35"/>
        <v>242.43016801472433</v>
      </c>
      <c r="L118">
        <f t="shared" si="35"/>
        <v>159.02237305220493</v>
      </c>
      <c r="M118">
        <f t="shared" si="35"/>
        <v>173.51368155103654</v>
      </c>
      <c r="N118">
        <f t="shared" si="35"/>
        <v>157.18867496447933</v>
      </c>
      <c r="O118">
        <f t="shared" si="35"/>
        <v>206.74945939106337</v>
      </c>
      <c r="P118">
        <f t="shared" si="35"/>
        <v>258.75517460128162</v>
      </c>
      <c r="Q118">
        <f t="shared" si="35"/>
        <v>167.91071517187498</v>
      </c>
      <c r="R118">
        <f t="shared" si="35"/>
        <v>220.06923855607027</v>
      </c>
      <c r="S118">
        <f t="shared" si="35"/>
        <v>221.24076788989501</v>
      </c>
      <c r="T118">
        <f t="shared" si="35"/>
        <v>210.26404739253749</v>
      </c>
      <c r="U118">
        <f t="shared" si="35"/>
        <v>236.80173360656656</v>
      </c>
      <c r="V118">
        <f t="shared" si="35"/>
        <v>220.45125899101311</v>
      </c>
      <c r="W118">
        <f t="shared" si="35"/>
        <v>181.05221813390858</v>
      </c>
      <c r="X118">
        <f t="shared" si="35"/>
        <v>155.71152928270035</v>
      </c>
      <c r="Y118">
        <f t="shared" si="35"/>
        <v>194.39746532791165</v>
      </c>
      <c r="Z118">
        <f t="shared" si="35"/>
        <v>246.07209616117939</v>
      </c>
    </row>
    <row r="119" spans="2:26" x14ac:dyDescent="0.25">
      <c r="B119">
        <v>9.0500000000000007</v>
      </c>
      <c r="C119">
        <f t="shared" ref="C119:Z119" si="36">(((($AC50-EXP(52.57-6690.9/(273.15+$AE50)-4.681*LN(273.15+$AE50)))/1013)*C50/100*0.2095*(48.998-1.335*$AE50+0.02755*POWER($AE50,2)-0.000322*POWER($AE50,3)+0.000001598*POWER($AE50,4))*32/22.414))*31.25</f>
        <v>201.40088778343443</v>
      </c>
      <c r="D119">
        <f t="shared" si="36"/>
        <v>233.27343814612598</v>
      </c>
      <c r="E119">
        <f t="shared" si="36"/>
        <v>148.81500133371799</v>
      </c>
      <c r="F119">
        <f t="shared" si="36"/>
        <v>228.075995880747</v>
      </c>
      <c r="G119">
        <f t="shared" si="36"/>
        <v>181.50283675764541</v>
      </c>
      <c r="H119">
        <f t="shared" si="36"/>
        <v>180.73850701273679</v>
      </c>
      <c r="I119">
        <f t="shared" si="36"/>
        <v>185.29900782402515</v>
      </c>
      <c r="J119">
        <f t="shared" si="36"/>
        <v>258.85300694240277</v>
      </c>
      <c r="K119">
        <f t="shared" si="36"/>
        <v>241.32437812583061</v>
      </c>
      <c r="L119">
        <f t="shared" si="36"/>
        <v>159.08249757365778</v>
      </c>
      <c r="M119">
        <f t="shared" si="36"/>
        <v>172.84043298201388</v>
      </c>
      <c r="N119">
        <f t="shared" si="36"/>
        <v>156.86594131342267</v>
      </c>
      <c r="O119">
        <f t="shared" si="36"/>
        <v>206.82762897228605</v>
      </c>
      <c r="P119">
        <f t="shared" si="36"/>
        <v>259.26064947302075</v>
      </c>
      <c r="Q119">
        <f t="shared" si="36"/>
        <v>167.97420027276203</v>
      </c>
      <c r="R119">
        <f t="shared" si="36"/>
        <v>220.15244419186047</v>
      </c>
      <c r="S119">
        <f t="shared" si="36"/>
        <v>220.94225159493277</v>
      </c>
      <c r="T119">
        <f t="shared" si="36"/>
        <v>209.93590326824798</v>
      </c>
      <c r="U119">
        <f t="shared" si="36"/>
        <v>238.08871553905055</v>
      </c>
      <c r="V119">
        <f t="shared" si="36"/>
        <v>220.94225159493277</v>
      </c>
      <c r="W119">
        <f t="shared" si="36"/>
        <v>182.64933137500842</v>
      </c>
      <c r="X119">
        <f t="shared" si="36"/>
        <v>155.38823713993256</v>
      </c>
      <c r="Y119">
        <f t="shared" si="36"/>
        <v>194.06332223231121</v>
      </c>
      <c r="Z119">
        <f t="shared" si="36"/>
        <v>246.57277570753689</v>
      </c>
    </row>
    <row r="120" spans="2:26" x14ac:dyDescent="0.25">
      <c r="B120">
        <v>9.3000000000000007</v>
      </c>
      <c r="C120">
        <f t="shared" ref="C120:Z120" si="37">(((($AC51-EXP(52.57-6690.9/(273.15+$AE51)-4.681*LN(273.15+$AE51)))/1013)*C51/100*0.2095*(48.998-1.335*$AE51+0.02755*POWER($AE51,2)-0.000322*POWER($AE51,3)+0.000001598*POWER($AE51,4))*32/22.414))*31.25</f>
        <v>201.01872291098013</v>
      </c>
      <c r="D120">
        <f t="shared" si="37"/>
        <v>232.45815308489009</v>
      </c>
      <c r="E120">
        <f t="shared" si="37"/>
        <v>148.07614924697293</v>
      </c>
      <c r="F120">
        <f t="shared" si="37"/>
        <v>228.86580328381933</v>
      </c>
      <c r="G120">
        <f t="shared" si="37"/>
        <v>181.50283675764541</v>
      </c>
      <c r="H120">
        <f t="shared" si="37"/>
        <v>179.23532518108303</v>
      </c>
      <c r="I120">
        <f t="shared" si="37"/>
        <v>184.5346780791165</v>
      </c>
      <c r="J120">
        <f t="shared" si="37"/>
        <v>259.26064947302075</v>
      </c>
      <c r="K120">
        <f t="shared" si="37"/>
        <v>242.52182805952089</v>
      </c>
      <c r="L120">
        <f t="shared" si="37"/>
        <v>158.70033270120348</v>
      </c>
      <c r="M120">
        <f t="shared" si="37"/>
        <v>172.10158089526877</v>
      </c>
      <c r="N120">
        <f t="shared" si="37"/>
        <v>156.86594131342267</v>
      </c>
      <c r="O120">
        <f t="shared" si="37"/>
        <v>206.82762897228605</v>
      </c>
      <c r="P120">
        <f t="shared" si="37"/>
        <v>259.26064947302075</v>
      </c>
      <c r="Q120">
        <f t="shared" si="37"/>
        <v>167.97420027276203</v>
      </c>
      <c r="R120">
        <f t="shared" si="37"/>
        <v>220.53460906431485</v>
      </c>
      <c r="S120">
        <f t="shared" si="37"/>
        <v>220.94225159493277</v>
      </c>
      <c r="T120">
        <f t="shared" si="37"/>
        <v>209.55373839579363</v>
      </c>
      <c r="U120">
        <f t="shared" si="37"/>
        <v>237.27343047781468</v>
      </c>
      <c r="V120">
        <f t="shared" si="37"/>
        <v>220.94225159493277</v>
      </c>
      <c r="W120">
        <f t="shared" si="37"/>
        <v>181.88500163009979</v>
      </c>
      <c r="X120">
        <f t="shared" si="37"/>
        <v>154.64938505318747</v>
      </c>
      <c r="Y120">
        <f t="shared" si="37"/>
        <v>194.47096476292919</v>
      </c>
      <c r="Z120">
        <f t="shared" si="37"/>
        <v>246.98041823815478</v>
      </c>
    </row>
    <row r="121" spans="2:26" x14ac:dyDescent="0.25">
      <c r="B121">
        <v>9.5500000000000007</v>
      </c>
      <c r="C121">
        <f t="shared" ref="C121:Z121" si="38">(((($AC52-EXP(52.57-6690.9/(273.15+$AE52)-4.681*LN(273.15+$AE52)))/1013)*C52/100*0.2095*(48.998-1.335*$AE52+0.02755*POWER($AE52,2)-0.000322*POWER($AE52,3)+0.000001598*POWER($AE52,4))*32/22.414))*31.25</f>
        <v>200.15323988105041</v>
      </c>
      <c r="D121">
        <f t="shared" si="38"/>
        <v>232.37029656122968</v>
      </c>
      <c r="E121">
        <f t="shared" si="38"/>
        <v>146.18648643812563</v>
      </c>
      <c r="F121">
        <f t="shared" si="38"/>
        <v>228.39728403782416</v>
      </c>
      <c r="G121">
        <f t="shared" si="38"/>
        <v>181.05221813390858</v>
      </c>
      <c r="H121">
        <f t="shared" si="38"/>
        <v>179.16758398819053</v>
      </c>
      <c r="I121">
        <f t="shared" si="38"/>
        <v>183.70089314951221</v>
      </c>
      <c r="J121">
        <f t="shared" si="38"/>
        <v>257.94019767340353</v>
      </c>
      <c r="K121">
        <f t="shared" si="38"/>
        <v>242.02267955078531</v>
      </c>
      <c r="L121">
        <f t="shared" si="38"/>
        <v>158.28380021131545</v>
      </c>
      <c r="M121">
        <f t="shared" si="38"/>
        <v>169.41332888265012</v>
      </c>
      <c r="N121">
        <f t="shared" si="38"/>
        <v>156.06808168864703</v>
      </c>
      <c r="O121">
        <f t="shared" si="38"/>
        <v>206.36743895612054</v>
      </c>
      <c r="P121">
        <f t="shared" si="38"/>
        <v>259.16266306522061</v>
      </c>
      <c r="Q121">
        <f t="shared" si="38"/>
        <v>167.55416276592834</v>
      </c>
      <c r="R121">
        <f t="shared" si="38"/>
        <v>218.87224119324941</v>
      </c>
      <c r="S121">
        <f t="shared" si="38"/>
        <v>221.64825635383403</v>
      </c>
      <c r="T121">
        <f t="shared" si="38"/>
        <v>208.30300915983096</v>
      </c>
      <c r="U121">
        <f t="shared" si="38"/>
        <v>237.99873096938751</v>
      </c>
      <c r="V121">
        <f t="shared" si="38"/>
        <v>219.66175009213131</v>
      </c>
      <c r="W121">
        <f t="shared" si="38"/>
        <v>181.81625900379424</v>
      </c>
      <c r="X121">
        <f t="shared" si="38"/>
        <v>153.13925835408526</v>
      </c>
      <c r="Y121">
        <f t="shared" si="38"/>
        <v>192.07987468925845</v>
      </c>
      <c r="Z121">
        <f t="shared" si="38"/>
        <v>245.28258726229754</v>
      </c>
    </row>
    <row r="122" spans="2:26" x14ac:dyDescent="0.25">
      <c r="B122">
        <v>9.8000000000000007</v>
      </c>
      <c r="C122">
        <f t="shared" ref="C122:Z122" si="39">(((($AC53-EXP(52.57-6690.9/(273.15+$AE53)-4.681*LN(273.15+$AE53)))/1013)*C53/100*0.2095*(48.998-1.335*$AE53+0.02755*POWER($AE53,2)-0.000322*POWER($AE53,3)+0.000001598*POWER($AE53,4))*32/22.414))*31.25</f>
        <v>200.15323988105041</v>
      </c>
      <c r="D122">
        <f t="shared" si="39"/>
        <v>232.37029656122968</v>
      </c>
      <c r="E122">
        <f t="shared" si="39"/>
        <v>146.56850687306846</v>
      </c>
      <c r="F122">
        <f t="shared" si="39"/>
        <v>226.79279821106431</v>
      </c>
      <c r="G122">
        <f t="shared" si="39"/>
        <v>180.67019769896572</v>
      </c>
      <c r="H122">
        <f t="shared" si="39"/>
        <v>178.04699071235822</v>
      </c>
      <c r="I122">
        <f t="shared" si="39"/>
        <v>182.93685227962655</v>
      </c>
      <c r="J122">
        <f t="shared" si="39"/>
        <v>258.34768613734252</v>
      </c>
      <c r="K122">
        <f t="shared" si="39"/>
        <v>241.23317065190349</v>
      </c>
      <c r="L122">
        <f t="shared" si="39"/>
        <v>158.64035261726212</v>
      </c>
      <c r="M122">
        <f t="shared" si="39"/>
        <v>169.41332888265012</v>
      </c>
      <c r="N122">
        <f t="shared" si="39"/>
        <v>156.06808168864703</v>
      </c>
      <c r="O122">
        <f t="shared" si="39"/>
        <v>206.36743895612054</v>
      </c>
      <c r="P122">
        <f t="shared" si="39"/>
        <v>258.75517460128162</v>
      </c>
      <c r="Q122">
        <f t="shared" si="39"/>
        <v>167.17214233098548</v>
      </c>
      <c r="R122">
        <f t="shared" si="39"/>
        <v>219.27972965718843</v>
      </c>
      <c r="S122">
        <f t="shared" si="39"/>
        <v>220.06923855607027</v>
      </c>
      <c r="T122">
        <f t="shared" si="39"/>
        <v>207.92098872488813</v>
      </c>
      <c r="U122">
        <f t="shared" si="39"/>
        <v>237.99873096938751</v>
      </c>
      <c r="V122">
        <f t="shared" si="39"/>
        <v>218.87224119324941</v>
      </c>
      <c r="W122">
        <f t="shared" si="39"/>
        <v>183.31887271456941</v>
      </c>
      <c r="X122">
        <f t="shared" si="39"/>
        <v>153.49581076003193</v>
      </c>
      <c r="Y122">
        <f t="shared" si="39"/>
        <v>192.84391555914411</v>
      </c>
      <c r="Z122">
        <f t="shared" si="39"/>
        <v>246.07209616117939</v>
      </c>
    </row>
    <row r="123" spans="2:26" x14ac:dyDescent="0.25">
      <c r="B123">
        <v>10.050000000000001</v>
      </c>
      <c r="C123">
        <f t="shared" ref="C123:Z123" si="40">(((($AC54-EXP(52.57-6690.9/(273.15+$AE54)-4.681*LN(273.15+$AE54)))/1013)*C54/100*0.2095*(48.998-1.335*$AE54+0.02755*POWER($AE54,2)-0.000322*POWER($AE54,3)+0.000001598*POWER($AE54,4))*32/22.414))*31.25</f>
        <v>199.69574234451511</v>
      </c>
      <c r="D123">
        <f t="shared" si="40"/>
        <v>231.90062685061042</v>
      </c>
      <c r="E123">
        <f t="shared" si="40"/>
        <v>146.51313069769051</v>
      </c>
      <c r="F123">
        <f t="shared" si="40"/>
        <v>225.91790127042671</v>
      </c>
      <c r="G123">
        <f t="shared" si="40"/>
        <v>180.22006120051282</v>
      </c>
      <c r="H123">
        <f t="shared" si="40"/>
        <v>178.33613910292303</v>
      </c>
      <c r="I123">
        <f t="shared" si="40"/>
        <v>182.51131780568952</v>
      </c>
      <c r="J123">
        <f t="shared" si="40"/>
        <v>258.25007781014295</v>
      </c>
      <c r="K123">
        <f t="shared" si="40"/>
        <v>241.93123909993969</v>
      </c>
      <c r="L123">
        <f t="shared" si="40"/>
        <v>158.58041548495467</v>
      </c>
      <c r="M123">
        <f t="shared" si="40"/>
        <v>168.22915163342117</v>
      </c>
      <c r="N123">
        <f t="shared" si="40"/>
        <v>155.65269871167331</v>
      </c>
      <c r="O123">
        <f t="shared" si="40"/>
        <v>206.28946968607931</v>
      </c>
      <c r="P123">
        <f t="shared" si="40"/>
        <v>259.06474682531689</v>
      </c>
      <c r="Q123">
        <f t="shared" si="40"/>
        <v>165.98881184169284</v>
      </c>
      <c r="R123">
        <f t="shared" si="40"/>
        <v>219.19688189524157</v>
      </c>
      <c r="S123">
        <f t="shared" si="40"/>
        <v>220.36796860455416</v>
      </c>
      <c r="T123">
        <f t="shared" si="40"/>
        <v>207.05322188780488</v>
      </c>
      <c r="U123">
        <f t="shared" si="40"/>
        <v>236.30493121389463</v>
      </c>
      <c r="V123">
        <f t="shared" si="40"/>
        <v>219.57875799610443</v>
      </c>
      <c r="W123">
        <f t="shared" si="40"/>
        <v>185.1589921050049</v>
      </c>
      <c r="X123">
        <f t="shared" si="40"/>
        <v>152.69952353166769</v>
      </c>
      <c r="Y123">
        <f t="shared" si="40"/>
        <v>192.38917961467371</v>
      </c>
      <c r="Z123">
        <f t="shared" si="40"/>
        <v>245.18991516063551</v>
      </c>
    </row>
    <row r="124" spans="2:26" x14ac:dyDescent="0.25">
      <c r="B124">
        <v>10.3</v>
      </c>
      <c r="C124">
        <f t="shared" ref="C124:Z124" si="41">(((($AC55-EXP(52.57-6690.9/(273.15+$AE55)-4.681*LN(273.15+$AE55)))/1013)*C55/100*0.2095*(48.998-1.335*$AE55+0.02755*POWER($AE55,2)-0.000322*POWER($AE55,3)+0.000001598*POWER($AE55,4))*32/22.414))*31.25</f>
        <v>199.31386624365228</v>
      </c>
      <c r="D124">
        <f t="shared" si="41"/>
        <v>231.49329234302346</v>
      </c>
      <c r="E124">
        <f t="shared" si="41"/>
        <v>145.06200151441192</v>
      </c>
      <c r="F124">
        <f t="shared" si="41"/>
        <v>225.91790127042671</v>
      </c>
      <c r="G124">
        <f t="shared" si="41"/>
        <v>179.48176740551139</v>
      </c>
      <c r="H124">
        <f t="shared" si="41"/>
        <v>177.59784530792163</v>
      </c>
      <c r="I124">
        <f t="shared" si="41"/>
        <v>181.36568950310115</v>
      </c>
      <c r="J124">
        <f t="shared" si="41"/>
        <v>257.43540879496902</v>
      </c>
      <c r="K124">
        <f t="shared" si="41"/>
        <v>241.54936299907692</v>
      </c>
      <c r="L124">
        <f t="shared" si="41"/>
        <v>157.84212168995333</v>
      </c>
      <c r="M124">
        <f t="shared" si="41"/>
        <v>167.108981737557</v>
      </c>
      <c r="N124">
        <f t="shared" si="41"/>
        <v>154.53252881580912</v>
      </c>
      <c r="O124">
        <f t="shared" si="41"/>
        <v>205.50025907762952</v>
      </c>
      <c r="P124">
        <f t="shared" si="41"/>
        <v>259.06474682531689</v>
      </c>
      <c r="Q124">
        <f t="shared" si="41"/>
        <v>166.7271056366942</v>
      </c>
      <c r="R124">
        <f t="shared" si="41"/>
        <v>218.40767128679184</v>
      </c>
      <c r="S124">
        <f t="shared" si="41"/>
        <v>219.19688189524157</v>
      </c>
      <c r="T124">
        <f t="shared" si="41"/>
        <v>206.28946968607931</v>
      </c>
      <c r="U124">
        <f t="shared" si="41"/>
        <v>237.09414182234437</v>
      </c>
      <c r="V124">
        <f t="shared" si="41"/>
        <v>219.57875799610443</v>
      </c>
      <c r="W124">
        <f t="shared" si="41"/>
        <v>185.1589921050049</v>
      </c>
      <c r="X124">
        <f t="shared" si="41"/>
        <v>153.08139963253055</v>
      </c>
      <c r="Y124">
        <f t="shared" si="41"/>
        <v>192.00730351381097</v>
      </c>
      <c r="Z124">
        <f t="shared" si="41"/>
        <v>245.5972496682225</v>
      </c>
    </row>
    <row r="125" spans="2:26" x14ac:dyDescent="0.25">
      <c r="B125">
        <v>10.55</v>
      </c>
      <c r="C125">
        <f t="shared" ref="C125:Z125" si="42">(((($AC56-EXP(52.57-6690.9/(273.15+$AE56)-4.681*LN(273.15+$AE56)))/1013)*C56/100*0.2095*(48.998-1.335*$AE56+0.02755*POWER($AE56,2)-0.000322*POWER($AE56,3)+0.000001598*POWER($AE56,4))*32/22.414))*31.25</f>
        <v>198.93199014278954</v>
      </c>
      <c r="D125">
        <f t="shared" si="42"/>
        <v>231.08595783543649</v>
      </c>
      <c r="E125">
        <f t="shared" si="42"/>
        <v>145.06200151441192</v>
      </c>
      <c r="F125">
        <f t="shared" si="42"/>
        <v>225.51056676283969</v>
      </c>
      <c r="G125">
        <f t="shared" si="42"/>
        <v>178.71801520378582</v>
      </c>
      <c r="H125">
        <f t="shared" si="42"/>
        <v>176.83409310619604</v>
      </c>
      <c r="I125">
        <f t="shared" si="42"/>
        <v>181.36568950310115</v>
      </c>
      <c r="J125">
        <f t="shared" si="42"/>
        <v>258.25007781014295</v>
      </c>
      <c r="K125">
        <f t="shared" si="42"/>
        <v>241.54936299907692</v>
      </c>
      <c r="L125">
        <f t="shared" si="42"/>
        <v>157.84212168995333</v>
      </c>
      <c r="M125">
        <f t="shared" si="42"/>
        <v>165.63239414755424</v>
      </c>
      <c r="N125">
        <f t="shared" si="42"/>
        <v>153.43781732666912</v>
      </c>
      <c r="O125">
        <f t="shared" si="42"/>
        <v>205.50025907762952</v>
      </c>
      <c r="P125">
        <f t="shared" si="42"/>
        <v>259.06474682531689</v>
      </c>
      <c r="Q125">
        <f t="shared" si="42"/>
        <v>166.37068794255561</v>
      </c>
      <c r="R125">
        <f t="shared" si="42"/>
        <v>218.00033677920479</v>
      </c>
      <c r="S125">
        <f t="shared" si="42"/>
        <v>219.57875799610443</v>
      </c>
      <c r="T125">
        <f t="shared" si="42"/>
        <v>207.05322188780488</v>
      </c>
      <c r="U125">
        <f t="shared" si="42"/>
        <v>238.31614534510533</v>
      </c>
      <c r="V125">
        <f t="shared" si="42"/>
        <v>218.78954738765461</v>
      </c>
      <c r="W125">
        <f t="shared" si="42"/>
        <v>185.92274430673046</v>
      </c>
      <c r="X125">
        <f t="shared" si="42"/>
        <v>152.34310583752912</v>
      </c>
      <c r="Y125">
        <f t="shared" si="42"/>
        <v>192.00730351381097</v>
      </c>
      <c r="Z125">
        <f t="shared" si="42"/>
        <v>245.5972496682225</v>
      </c>
    </row>
    <row r="126" spans="2:26" x14ac:dyDescent="0.25">
      <c r="B126">
        <v>10.8</v>
      </c>
      <c r="C126">
        <f t="shared" ref="C126:Z126" si="43">(((($AC57-EXP(52.57-6690.9/(273.15+$AE57)-4.681*LN(273.15+$AE57)))/1013)*C57/100*0.2095*(48.998-1.335*$AE57+0.02755*POWER($AE57,2)-0.000322*POWER($AE57,3)+0.000001598*POWER($AE57,4))*32/22.414))*31.25</f>
        <v>198.51261213943161</v>
      </c>
      <c r="D126">
        <f t="shared" si="43"/>
        <v>230.66050663002042</v>
      </c>
      <c r="E126">
        <f t="shared" si="43"/>
        <v>143.5837472853614</v>
      </c>
      <c r="F126">
        <f t="shared" si="43"/>
        <v>224.6789110597208</v>
      </c>
      <c r="G126">
        <f t="shared" si="43"/>
        <v>179.82967108155975</v>
      </c>
      <c r="H126">
        <f t="shared" si="43"/>
        <v>176.80069289915266</v>
      </c>
      <c r="I126">
        <f t="shared" si="43"/>
        <v>179.82967108155975</v>
      </c>
      <c r="J126">
        <f t="shared" si="43"/>
        <v>257.38678471008234</v>
      </c>
      <c r="K126">
        <f t="shared" si="43"/>
        <v>241.09648188033032</v>
      </c>
      <c r="L126">
        <f t="shared" si="43"/>
        <v>158.9322669827684</v>
      </c>
      <c r="M126">
        <f t="shared" si="43"/>
        <v>164.0993474115804</v>
      </c>
      <c r="N126">
        <f t="shared" si="43"/>
        <v>153.40883617955561</v>
      </c>
      <c r="O126">
        <f t="shared" si="43"/>
        <v>205.46144444024773</v>
      </c>
      <c r="P126">
        <f t="shared" si="43"/>
        <v>259.42307256380138</v>
      </c>
      <c r="Q126">
        <f t="shared" si="43"/>
        <v>166.33926405067126</v>
      </c>
      <c r="R126">
        <f t="shared" si="43"/>
        <v>217.9591611424481</v>
      </c>
      <c r="S126">
        <f t="shared" si="43"/>
        <v>218.74822268576423</v>
      </c>
      <c r="T126">
        <f t="shared" si="43"/>
        <v>206.25050598356381</v>
      </c>
      <c r="U126">
        <f t="shared" si="43"/>
        <v>237.45661734180763</v>
      </c>
      <c r="V126">
        <f t="shared" si="43"/>
        <v>219.15548025650796</v>
      </c>
      <c r="W126">
        <f t="shared" si="43"/>
        <v>188.15299768363616</v>
      </c>
      <c r="X126">
        <f t="shared" si="43"/>
        <v>151.95798108378079</v>
      </c>
      <c r="Y126">
        <f t="shared" si="43"/>
        <v>191.58923343678697</v>
      </c>
      <c r="Z126">
        <f t="shared" si="43"/>
        <v>245.93266553291295</v>
      </c>
    </row>
    <row r="127" spans="2:26" x14ac:dyDescent="0.25">
      <c r="B127">
        <v>11.05</v>
      </c>
      <c r="C127">
        <f t="shared" ref="C127:Z127" si="44">(((($AC58-EXP(52.57-6690.9/(273.15+$AE58)-4.681*LN(273.15+$AE58)))/1013)*C58/100*0.2095*(48.998-1.335*$AE58+0.02755*POWER($AE58,2)-0.000322*POWER($AE58,3)+0.000001598*POWER($AE58,4))*32/22.414))*31.25</f>
        <v>197.7235505961155</v>
      </c>
      <c r="D127">
        <f t="shared" si="44"/>
        <v>231.4495681733365</v>
      </c>
      <c r="E127">
        <f t="shared" si="44"/>
        <v>143.20194331278907</v>
      </c>
      <c r="F127">
        <f t="shared" si="44"/>
        <v>225.08616863046458</v>
      </c>
      <c r="G127">
        <f t="shared" si="44"/>
        <v>178.68425916384282</v>
      </c>
      <c r="H127">
        <f t="shared" si="44"/>
        <v>176.80069289915266</v>
      </c>
      <c r="I127">
        <f t="shared" si="44"/>
        <v>180.18602145596054</v>
      </c>
      <c r="J127">
        <f t="shared" si="44"/>
        <v>257.38678471008234</v>
      </c>
      <c r="K127">
        <f t="shared" si="44"/>
        <v>241.8855434236464</v>
      </c>
      <c r="L127">
        <f t="shared" si="44"/>
        <v>158.5504630101961</v>
      </c>
      <c r="M127">
        <f t="shared" si="44"/>
        <v>164.4811513841527</v>
      </c>
      <c r="N127">
        <f t="shared" si="44"/>
        <v>153.05248580515479</v>
      </c>
      <c r="O127">
        <f t="shared" si="44"/>
        <v>204.69783649510305</v>
      </c>
      <c r="P127">
        <f t="shared" si="44"/>
        <v>259.01581499305752</v>
      </c>
      <c r="Q127">
        <f t="shared" si="44"/>
        <v>166.33926405067126</v>
      </c>
      <c r="R127">
        <f t="shared" si="44"/>
        <v>217.9591611424481</v>
      </c>
      <c r="S127">
        <f t="shared" si="44"/>
        <v>219.15548025650796</v>
      </c>
      <c r="T127">
        <f t="shared" si="44"/>
        <v>205.46144444024773</v>
      </c>
      <c r="U127">
        <f t="shared" si="44"/>
        <v>237.86387491255141</v>
      </c>
      <c r="V127">
        <f t="shared" si="44"/>
        <v>217.9591611424481</v>
      </c>
      <c r="W127">
        <f t="shared" si="44"/>
        <v>188.53480165620843</v>
      </c>
      <c r="X127">
        <f t="shared" si="44"/>
        <v>152.67068183258249</v>
      </c>
      <c r="Y127">
        <f t="shared" si="44"/>
        <v>191.58923343678697</v>
      </c>
      <c r="Z127">
        <f t="shared" si="44"/>
        <v>245.14360398959684</v>
      </c>
    </row>
    <row r="128" spans="2:26" x14ac:dyDescent="0.25">
      <c r="B128">
        <v>11.3</v>
      </c>
      <c r="C128">
        <f t="shared" ref="C128:Z128" si="45">(((($AC59-EXP(52.57-6690.9/(273.15+$AE59)-4.681*LN(273.15+$AE59)))/1013)*C59/100*0.2095*(48.998-1.335*$AE59+0.02755*POWER($AE59,2)-0.000322*POWER($AE59,3)+0.000001598*POWER($AE59,4))*32/22.414))*31.25</f>
        <v>198.47512365806696</v>
      </c>
      <c r="D128">
        <f t="shared" si="45"/>
        <v>230.20976645863234</v>
      </c>
      <c r="E128">
        <f t="shared" si="45"/>
        <v>143.17490007696946</v>
      </c>
      <c r="F128">
        <f t="shared" si="45"/>
        <v>224.63648115524521</v>
      </c>
      <c r="G128">
        <f t="shared" si="45"/>
        <v>179.03224707456101</v>
      </c>
      <c r="H128">
        <f t="shared" si="45"/>
        <v>176.02928969648025</v>
      </c>
      <c r="I128">
        <f t="shared" si="45"/>
        <v>180.15199389350639</v>
      </c>
      <c r="J128">
        <f t="shared" si="45"/>
        <v>259.37408133389141</v>
      </c>
      <c r="K128">
        <f t="shared" si="45"/>
        <v>241.83986410086041</v>
      </c>
      <c r="L128">
        <f t="shared" si="45"/>
        <v>156.68820827833289</v>
      </c>
      <c r="M128">
        <f t="shared" si="45"/>
        <v>163.71207468808115</v>
      </c>
      <c r="N128">
        <f t="shared" si="45"/>
        <v>153.02358232542079</v>
      </c>
      <c r="O128">
        <f t="shared" si="45"/>
        <v>205.04091182370115</v>
      </c>
      <c r="P128">
        <f t="shared" si="45"/>
        <v>258.96690067245669</v>
      </c>
      <c r="Q128">
        <f t="shared" si="45"/>
        <v>167.04586635357757</v>
      </c>
      <c r="R128">
        <f t="shared" si="45"/>
        <v>217.91800024157297</v>
      </c>
      <c r="S128">
        <f t="shared" si="45"/>
        <v>218.70691277310266</v>
      </c>
      <c r="T128">
        <f t="shared" si="45"/>
        <v>205.4226436937962</v>
      </c>
      <c r="U128">
        <f t="shared" si="45"/>
        <v>237.41177440775826</v>
      </c>
      <c r="V128">
        <f t="shared" si="45"/>
        <v>219.1140934345373</v>
      </c>
      <c r="W128">
        <f t="shared" si="45"/>
        <v>189.26266119310733</v>
      </c>
      <c r="X128">
        <f t="shared" si="45"/>
        <v>152.64185045532574</v>
      </c>
      <c r="Y128">
        <f t="shared" si="45"/>
        <v>191.93478428377242</v>
      </c>
      <c r="Z128">
        <f t="shared" si="45"/>
        <v>246.29340258530223</v>
      </c>
    </row>
    <row r="129" spans="2:26" x14ac:dyDescent="0.25">
      <c r="B129">
        <v>11.55</v>
      </c>
      <c r="C129">
        <f t="shared" ref="C129:Z129" si="46">(((($AC60-EXP(52.57-6690.9/(273.15+$AE60)-4.681*LN(273.15+$AE60)))/1013)*C60/100*0.2095*(48.998-1.335*$AE60+0.02755*POWER($AE60,2)-0.000322*POWER($AE60,3)+0.000001598*POWER($AE60,4))*32/22.414))*31.25</f>
        <v>197.30447925644228</v>
      </c>
      <c r="D129">
        <f t="shared" si="46"/>
        <v>230.20976645863234</v>
      </c>
      <c r="E129">
        <f t="shared" si="46"/>
        <v>143.17490007696946</v>
      </c>
      <c r="F129">
        <f t="shared" si="46"/>
        <v>224.25474928515015</v>
      </c>
      <c r="G129">
        <f t="shared" si="46"/>
        <v>177.14903651542554</v>
      </c>
      <c r="H129">
        <f t="shared" si="46"/>
        <v>175.64755782638522</v>
      </c>
      <c r="I129">
        <f t="shared" si="46"/>
        <v>179.795710814751</v>
      </c>
      <c r="J129">
        <f t="shared" si="46"/>
        <v>257.74535868815263</v>
      </c>
      <c r="K129">
        <f t="shared" si="46"/>
        <v>241.83986410086041</v>
      </c>
      <c r="L129">
        <f t="shared" si="46"/>
        <v>157.06994014842792</v>
      </c>
      <c r="M129">
        <f t="shared" si="46"/>
        <v>162.97405973923082</v>
      </c>
      <c r="N129">
        <f t="shared" si="46"/>
        <v>152.64185045532574</v>
      </c>
      <c r="O129">
        <f t="shared" si="46"/>
        <v>205.4226436937962</v>
      </c>
      <c r="P129">
        <f t="shared" si="46"/>
        <v>259.37408133389141</v>
      </c>
      <c r="Q129">
        <f t="shared" si="46"/>
        <v>166.66413448348254</v>
      </c>
      <c r="R129">
        <f t="shared" si="46"/>
        <v>216.74735583994823</v>
      </c>
      <c r="S129">
        <f t="shared" si="46"/>
        <v>218.32518090300766</v>
      </c>
      <c r="T129">
        <f t="shared" si="46"/>
        <v>204.25199929217152</v>
      </c>
      <c r="U129">
        <f t="shared" si="46"/>
        <v>237.41177440775826</v>
      </c>
      <c r="V129">
        <f t="shared" si="46"/>
        <v>217.91800024157297</v>
      </c>
      <c r="W129">
        <f t="shared" si="46"/>
        <v>190.40785680339235</v>
      </c>
      <c r="X129">
        <f t="shared" si="46"/>
        <v>151.54755242772006</v>
      </c>
      <c r="Y129">
        <f t="shared" si="46"/>
        <v>191.1713205435824</v>
      </c>
      <c r="Z129">
        <f t="shared" si="46"/>
        <v>245.88622192386754</v>
      </c>
    </row>
    <row r="130" spans="2:26" x14ac:dyDescent="0.25">
      <c r="B130">
        <v>11.8</v>
      </c>
      <c r="C130">
        <f t="shared" ref="C130:Z130" si="47">(((($AC61-EXP(52.57-6690.9/(273.15+$AE61)-4.681*LN(273.15+$AE61)))/1013)*C61/100*0.2095*(48.998-1.335*$AE61+0.02755*POWER($AE61,2)-0.000322*POWER($AE61,3)+0.000001598*POWER($AE61,4))*32/22.414))*31.25</f>
        <v>197.30447925644228</v>
      </c>
      <c r="D130">
        <f t="shared" si="47"/>
        <v>229.80258579719768</v>
      </c>
      <c r="E130">
        <f t="shared" si="47"/>
        <v>141.36803589185303</v>
      </c>
      <c r="F130">
        <f t="shared" si="47"/>
        <v>223.46583675362047</v>
      </c>
      <c r="G130">
        <f t="shared" si="47"/>
        <v>177.91250025561558</v>
      </c>
      <c r="H130">
        <f t="shared" si="47"/>
        <v>175.2658259562902</v>
      </c>
      <c r="I130">
        <f t="shared" si="47"/>
        <v>178.65051520446599</v>
      </c>
      <c r="J130">
        <f t="shared" si="47"/>
        <v>257.74535868815263</v>
      </c>
      <c r="K130">
        <f t="shared" si="47"/>
        <v>241.45813223076539</v>
      </c>
      <c r="L130">
        <f t="shared" si="47"/>
        <v>157.42622322718327</v>
      </c>
      <c r="M130">
        <f t="shared" si="47"/>
        <v>161.85431292028542</v>
      </c>
      <c r="N130">
        <f t="shared" si="47"/>
        <v>152.28556737657044</v>
      </c>
      <c r="O130">
        <f t="shared" si="47"/>
        <v>204.65917995360618</v>
      </c>
      <c r="P130">
        <f t="shared" si="47"/>
        <v>258.55972001102197</v>
      </c>
      <c r="Q130">
        <f t="shared" si="47"/>
        <v>167.04586635357757</v>
      </c>
      <c r="R130">
        <f t="shared" si="47"/>
        <v>216.74735583994823</v>
      </c>
      <c r="S130">
        <f t="shared" si="47"/>
        <v>217.91800024157297</v>
      </c>
      <c r="T130">
        <f t="shared" si="47"/>
        <v>203.87026742207644</v>
      </c>
      <c r="U130">
        <f t="shared" si="47"/>
        <v>237.00459374632356</v>
      </c>
      <c r="V130">
        <f t="shared" si="47"/>
        <v>218.32518090300766</v>
      </c>
      <c r="W130">
        <f t="shared" si="47"/>
        <v>191.55305241367739</v>
      </c>
      <c r="X130">
        <f t="shared" si="47"/>
        <v>151.19126934896471</v>
      </c>
      <c r="Y130">
        <f t="shared" si="47"/>
        <v>190.40785680339235</v>
      </c>
      <c r="Z130">
        <f t="shared" si="47"/>
        <v>245.50449005377251</v>
      </c>
    </row>
    <row r="131" spans="2:26" x14ac:dyDescent="0.25">
      <c r="B131">
        <v>12.05</v>
      </c>
      <c r="C131">
        <f t="shared" ref="C131:Z131" si="48">(((($AC62-EXP(52.57-6690.9/(273.15+$AE62)-4.681*LN(273.15+$AE62)))/1013)*C62/100*0.2095*(48.998-1.335*$AE62+0.02755*POWER($AE62,2)-0.000322*POWER($AE62,3)+0.000001598*POWER($AE62,4))*32/22.414))*31.25</f>
        <v>196.5410155162522</v>
      </c>
      <c r="D131">
        <f t="shared" si="48"/>
        <v>229.42085392710266</v>
      </c>
      <c r="E131">
        <f t="shared" si="48"/>
        <v>142.10605084070343</v>
      </c>
      <c r="F131">
        <f t="shared" si="48"/>
        <v>223.0586560921858</v>
      </c>
      <c r="G131">
        <f t="shared" si="48"/>
        <v>177.53076838552062</v>
      </c>
      <c r="H131">
        <f t="shared" si="48"/>
        <v>174.88409408619518</v>
      </c>
      <c r="I131">
        <f t="shared" si="48"/>
        <v>177.14903651542554</v>
      </c>
      <c r="J131">
        <f t="shared" si="48"/>
        <v>258.15253934958724</v>
      </c>
      <c r="K131">
        <f t="shared" si="48"/>
        <v>241.83986410086041</v>
      </c>
      <c r="L131">
        <f t="shared" si="48"/>
        <v>157.42622322718327</v>
      </c>
      <c r="M131">
        <f t="shared" si="48"/>
        <v>161.11629797143505</v>
      </c>
      <c r="N131">
        <f t="shared" si="48"/>
        <v>151.54755242772006</v>
      </c>
      <c r="O131">
        <f t="shared" si="48"/>
        <v>204.65917995360618</v>
      </c>
      <c r="P131">
        <f t="shared" si="48"/>
        <v>259.80671078666569</v>
      </c>
      <c r="Q131">
        <f t="shared" si="48"/>
        <v>167.78388130242797</v>
      </c>
      <c r="R131">
        <f t="shared" si="48"/>
        <v>217.15453650138292</v>
      </c>
      <c r="S131">
        <f t="shared" si="48"/>
        <v>217.91800024157297</v>
      </c>
      <c r="T131">
        <f t="shared" si="48"/>
        <v>203.87026742207644</v>
      </c>
      <c r="U131">
        <f t="shared" si="48"/>
        <v>237.81895506919295</v>
      </c>
      <c r="V131">
        <f t="shared" si="48"/>
        <v>217.53626837147795</v>
      </c>
      <c r="W131">
        <f t="shared" si="48"/>
        <v>193.46171176415248</v>
      </c>
      <c r="X131">
        <f t="shared" si="48"/>
        <v>150.45325440011433</v>
      </c>
      <c r="Y131">
        <f t="shared" si="48"/>
        <v>190.78958867348737</v>
      </c>
      <c r="Z131">
        <f t="shared" si="48"/>
        <v>245.09730939233788</v>
      </c>
    </row>
    <row r="132" spans="2:26" x14ac:dyDescent="0.25">
      <c r="B132">
        <v>12.32</v>
      </c>
      <c r="C132">
        <f t="shared" ref="C132:Z132" si="49">(((($AC63-EXP(52.57-6690.9/(273.15+$AE63)-4.681*LN(273.15+$AE63)))/1013)*C63/100*0.2095*(48.998-1.335*$AE63+0.02755*POWER($AE63,2)-0.000322*POWER($AE63,3)+0.000001598*POWER($AE63,4))*32/22.414))*31.25</f>
        <v>196.5039056367859</v>
      </c>
      <c r="D132">
        <f t="shared" si="49"/>
        <v>229.75919563643353</v>
      </c>
      <c r="E132">
        <f t="shared" si="49"/>
        <v>140.62891188068312</v>
      </c>
      <c r="F132">
        <f t="shared" si="49"/>
        <v>223.0165392860842</v>
      </c>
      <c r="G132">
        <f t="shared" si="49"/>
        <v>177.87890771808495</v>
      </c>
      <c r="H132">
        <f t="shared" si="49"/>
        <v>173.73153796296438</v>
      </c>
      <c r="I132">
        <f t="shared" si="49"/>
        <v>177.87890771808495</v>
      </c>
      <c r="J132">
        <f t="shared" si="49"/>
        <v>258.91800385341617</v>
      </c>
      <c r="K132">
        <f t="shared" si="49"/>
        <v>241.79420112215149</v>
      </c>
      <c r="L132">
        <f t="shared" si="49"/>
        <v>157.75271461194777</v>
      </c>
      <c r="M132">
        <f t="shared" si="49"/>
        <v>160.70421701436484</v>
      </c>
      <c r="N132">
        <f t="shared" si="49"/>
        <v>151.90059777956904</v>
      </c>
      <c r="O132">
        <f t="shared" si="49"/>
        <v>204.21343346378913</v>
      </c>
      <c r="P132">
        <f t="shared" si="49"/>
        <v>259.32510763305993</v>
      </c>
      <c r="Q132">
        <f t="shared" si="49"/>
        <v>167.01432559884276</v>
      </c>
      <c r="R132">
        <f t="shared" si="49"/>
        <v>215.91766712854655</v>
      </c>
      <c r="S132">
        <f t="shared" si="49"/>
        <v>217.49519427466598</v>
      </c>
      <c r="T132">
        <f t="shared" si="49"/>
        <v>203.45011387695715</v>
      </c>
      <c r="U132">
        <f t="shared" si="49"/>
        <v>237.3669475185259</v>
      </c>
      <c r="V132">
        <f t="shared" si="49"/>
        <v>217.876854068082</v>
      </c>
      <c r="W132">
        <f t="shared" si="49"/>
        <v>193.04352350981409</v>
      </c>
      <c r="X132">
        <f t="shared" si="49"/>
        <v>151.16272217896477</v>
      </c>
      <c r="Y132">
        <f t="shared" si="49"/>
        <v>189.22692557565409</v>
      </c>
      <c r="Z132">
        <f t="shared" si="49"/>
        <v>245.83979493236117</v>
      </c>
    </row>
    <row r="133" spans="2:26" x14ac:dyDescent="0.25">
      <c r="B133">
        <v>12.57</v>
      </c>
      <c r="C133">
        <f t="shared" ref="C133:Z133" si="50">(((($AC64-EXP(52.57-6690.9/(273.15+$AE64)-4.681*LN(273.15+$AE64)))/1013)*C64/100*0.2095*(48.998-1.335*$AE64+0.02755*POWER($AE64,2)-0.000322*POWER($AE64,3)+0.000001598*POWER($AE64,4))*32/22.414))*31.25</f>
        <v>196.15928364615721</v>
      </c>
      <c r="D133">
        <f t="shared" si="50"/>
        <v>229.80258579719768</v>
      </c>
      <c r="E133">
        <f t="shared" si="50"/>
        <v>139.20488862798129</v>
      </c>
      <c r="F133">
        <f t="shared" si="50"/>
        <v>222.26974356065611</v>
      </c>
      <c r="G133">
        <f t="shared" si="50"/>
        <v>176.38557277523557</v>
      </c>
      <c r="H133">
        <f t="shared" si="50"/>
        <v>173.38261539715481</v>
      </c>
      <c r="I133">
        <f t="shared" si="50"/>
        <v>176.76730464533054</v>
      </c>
      <c r="J133">
        <f t="shared" si="50"/>
        <v>257.74535868815263</v>
      </c>
      <c r="K133">
        <f t="shared" si="50"/>
        <v>241.83986410086041</v>
      </c>
      <c r="L133">
        <f t="shared" si="50"/>
        <v>158.16423817603362</v>
      </c>
      <c r="M133">
        <f t="shared" si="50"/>
        <v>161.11629797143505</v>
      </c>
      <c r="N133">
        <f t="shared" si="50"/>
        <v>151.54755242772006</v>
      </c>
      <c r="O133">
        <f t="shared" si="50"/>
        <v>203.87026742207644</v>
      </c>
      <c r="P133">
        <f t="shared" si="50"/>
        <v>258.96690067245669</v>
      </c>
      <c r="Q133">
        <f t="shared" si="50"/>
        <v>167.78388130242797</v>
      </c>
      <c r="R133">
        <f t="shared" si="50"/>
        <v>215.57671143832354</v>
      </c>
      <c r="S133">
        <f t="shared" si="50"/>
        <v>217.53626837147795</v>
      </c>
      <c r="T133">
        <f t="shared" si="50"/>
        <v>203.48853555198144</v>
      </c>
      <c r="U133">
        <f t="shared" si="50"/>
        <v>238.22613573062756</v>
      </c>
      <c r="V133">
        <f t="shared" si="50"/>
        <v>217.91800024157297</v>
      </c>
      <c r="W133">
        <f t="shared" si="50"/>
        <v>194.6323561657772</v>
      </c>
      <c r="X133">
        <f t="shared" si="50"/>
        <v>150.09697132135901</v>
      </c>
      <c r="Y133">
        <f t="shared" si="50"/>
        <v>190.40785680339235</v>
      </c>
      <c r="Z133">
        <f t="shared" si="50"/>
        <v>245.50449005377251</v>
      </c>
    </row>
    <row r="134" spans="2:26" x14ac:dyDescent="0.25">
      <c r="B134">
        <v>12.82</v>
      </c>
      <c r="C134">
        <f t="shared" ref="C134:Z134" si="51">(((($AC65-EXP(52.57-6690.9/(273.15+$AE65)-4.681*LN(273.15+$AE65)))/1013)*C65/100*0.2095*(48.998-1.335*$AE65+0.02755*POWER($AE65,2)-0.000322*POWER($AE65,3)+0.000001598*POWER($AE65,4))*32/22.414))*31.25</f>
        <v>195.3589262565379</v>
      </c>
      <c r="D134">
        <f t="shared" si="51"/>
        <v>229.3775358430176</v>
      </c>
      <c r="E134">
        <f t="shared" si="51"/>
        <v>139.53482047289057</v>
      </c>
      <c r="F134">
        <f t="shared" si="51"/>
        <v>221.43901213996475</v>
      </c>
      <c r="G134">
        <f t="shared" si="51"/>
        <v>176.35226854442095</v>
      </c>
      <c r="H134">
        <f t="shared" si="51"/>
        <v>172.61200256894415</v>
      </c>
      <c r="I134">
        <f t="shared" si="51"/>
        <v>175.23273315040066</v>
      </c>
      <c r="J134">
        <f t="shared" si="51"/>
        <v>258.10379629412864</v>
      </c>
      <c r="K134">
        <f t="shared" si="51"/>
        <v>241.00543754909179</v>
      </c>
      <c r="L134">
        <f t="shared" si="51"/>
        <v>158.49059021255198</v>
      </c>
      <c r="M134">
        <f t="shared" si="51"/>
        <v>159.96634141376055</v>
      </c>
      <c r="N134">
        <f t="shared" si="51"/>
        <v>150.06863077117222</v>
      </c>
      <c r="O134">
        <f t="shared" si="51"/>
        <v>204.21343346378913</v>
      </c>
      <c r="P134">
        <f t="shared" si="51"/>
        <v>259.32510763305993</v>
      </c>
      <c r="Q134">
        <f t="shared" si="51"/>
        <v>166.27644999823846</v>
      </c>
      <c r="R134">
        <f t="shared" si="51"/>
        <v>216.32477090819023</v>
      </c>
      <c r="S134">
        <f t="shared" si="51"/>
        <v>217.11353448125001</v>
      </c>
      <c r="T134">
        <f t="shared" si="51"/>
        <v>202.68679429012514</v>
      </c>
      <c r="U134">
        <f t="shared" si="51"/>
        <v>237.77405129816964</v>
      </c>
      <c r="V134">
        <f t="shared" si="51"/>
        <v>217.11353448125001</v>
      </c>
      <c r="W134">
        <f t="shared" si="51"/>
        <v>195.3589262565379</v>
      </c>
      <c r="X134">
        <f t="shared" si="51"/>
        <v>150.4248465783605</v>
      </c>
      <c r="Y134">
        <f t="shared" si="51"/>
        <v>188.84526578223813</v>
      </c>
      <c r="Z134">
        <f t="shared" si="51"/>
        <v>245.83979493236117</v>
      </c>
    </row>
    <row r="135" spans="2:26" x14ac:dyDescent="0.25">
      <c r="B135">
        <v>13.07</v>
      </c>
      <c r="C135">
        <f t="shared" ref="C135:Z135" si="52">(((($AC66-EXP(52.57-6690.9/(273.15+$AE66)-4.681*LN(273.15+$AE66)))/1013)*C66/100*0.2095*(48.998-1.335*$AE66+0.02755*POWER($AE66,2)-0.000322*POWER($AE66,3)+0.000001598*POWER($AE66,4))*32/22.414))*31.25</f>
        <v>195.3589262565379</v>
      </c>
      <c r="D135">
        <f t="shared" si="52"/>
        <v>228.97043206337381</v>
      </c>
      <c r="E135">
        <f t="shared" si="52"/>
        <v>139.53482047289057</v>
      </c>
      <c r="F135">
        <f t="shared" si="52"/>
        <v>221.03190836032098</v>
      </c>
      <c r="G135">
        <f t="shared" si="52"/>
        <v>176.35226854442095</v>
      </c>
      <c r="H135">
        <f t="shared" si="52"/>
        <v>172.99366236236011</v>
      </c>
      <c r="I135">
        <f t="shared" si="52"/>
        <v>174.85107335698467</v>
      </c>
      <c r="J135">
        <f t="shared" si="52"/>
        <v>258.91800385341617</v>
      </c>
      <c r="K135">
        <f t="shared" si="52"/>
        <v>241.79420112215149</v>
      </c>
      <c r="L135">
        <f t="shared" si="52"/>
        <v>159.61012560657227</v>
      </c>
      <c r="M135">
        <f t="shared" si="52"/>
        <v>158.87225000596803</v>
      </c>
      <c r="N135">
        <f t="shared" si="52"/>
        <v>150.4248465783605</v>
      </c>
      <c r="O135">
        <f t="shared" si="52"/>
        <v>203.0684540835411</v>
      </c>
      <c r="P135">
        <f t="shared" si="52"/>
        <v>258.5109000737724</v>
      </c>
      <c r="Q135">
        <f t="shared" si="52"/>
        <v>167.75220119944703</v>
      </c>
      <c r="R135">
        <f t="shared" si="52"/>
        <v>215.91766712854655</v>
      </c>
      <c r="S135">
        <f t="shared" si="52"/>
        <v>216.70643070160628</v>
      </c>
      <c r="T135">
        <f t="shared" si="52"/>
        <v>201.89803071706538</v>
      </c>
      <c r="U135">
        <f t="shared" si="52"/>
        <v>237.77405129816964</v>
      </c>
      <c r="V135">
        <f t="shared" si="52"/>
        <v>217.11353448125001</v>
      </c>
      <c r="W135">
        <f t="shared" si="52"/>
        <v>197.64888501703393</v>
      </c>
      <c r="X135">
        <f t="shared" si="52"/>
        <v>150.06863077117222</v>
      </c>
      <c r="Y135">
        <f t="shared" si="52"/>
        <v>188.84526578223813</v>
      </c>
      <c r="Z135">
        <f t="shared" si="52"/>
        <v>245.83979493236117</v>
      </c>
    </row>
    <row r="136" spans="2:26" x14ac:dyDescent="0.25">
      <c r="B136">
        <v>13.32</v>
      </c>
      <c r="C136">
        <f t="shared" ref="C136:Z136" si="53">(((($AC67-EXP(52.57-6690.9/(273.15+$AE67)-4.681*LN(273.15+$AE67)))/1013)*C67/100*0.2095*(48.998-1.335*$AE67+0.02755*POWER($AE67,2)-0.000322*POWER($AE67,3)+0.000001598*POWER($AE67,4))*32/22.414))*31.25</f>
        <v>195.66669426046266</v>
      </c>
      <c r="D136">
        <f t="shared" si="53"/>
        <v>228.88399605484253</v>
      </c>
      <c r="E136">
        <f t="shared" si="53"/>
        <v>138.05782093406876</v>
      </c>
      <c r="F136">
        <f t="shared" si="53"/>
        <v>220.16000331711484</v>
      </c>
      <c r="G136">
        <f t="shared" si="53"/>
        <v>176.28569581688114</v>
      </c>
      <c r="H136">
        <f t="shared" si="53"/>
        <v>172.54684178642643</v>
      </c>
      <c r="I136">
        <f t="shared" si="53"/>
        <v>174.42898599223358</v>
      </c>
      <c r="J136">
        <f t="shared" si="53"/>
        <v>258.82026267963965</v>
      </c>
      <c r="K136">
        <f t="shared" si="53"/>
        <v>242.1098742578115</v>
      </c>
      <c r="L136">
        <f t="shared" si="53"/>
        <v>160.64355140375437</v>
      </c>
      <c r="M136">
        <f t="shared" si="53"/>
        <v>157.69316318924584</v>
      </c>
      <c r="N136">
        <f t="shared" si="53"/>
        <v>150.74957713268714</v>
      </c>
      <c r="O136">
        <f t="shared" si="53"/>
        <v>204.13634318659473</v>
      </c>
      <c r="P136">
        <f t="shared" si="53"/>
        <v>259.65959725790498</v>
      </c>
      <c r="Q136">
        <f t="shared" si="53"/>
        <v>167.33279364871757</v>
      </c>
      <c r="R136">
        <f t="shared" si="53"/>
        <v>215.83615851999039</v>
      </c>
      <c r="S136">
        <f t="shared" si="53"/>
        <v>216.24310861854326</v>
      </c>
      <c r="T136">
        <f t="shared" si="53"/>
        <v>202.20333021846847</v>
      </c>
      <c r="U136">
        <f t="shared" si="53"/>
        <v>237.27734183749592</v>
      </c>
      <c r="V136">
        <f t="shared" si="53"/>
        <v>216.6246243359366</v>
      </c>
      <c r="W136">
        <f t="shared" si="53"/>
        <v>197.19275713003597</v>
      </c>
      <c r="X136">
        <f t="shared" si="53"/>
        <v>148.9183016891991</v>
      </c>
      <c r="Y136">
        <f t="shared" si="53"/>
        <v>188.77397696622302</v>
      </c>
      <c r="Z136">
        <f t="shared" si="53"/>
        <v>244.95852494768175</v>
      </c>
    </row>
    <row r="137" spans="2:26" x14ac:dyDescent="0.25">
      <c r="B137">
        <v>13.57</v>
      </c>
      <c r="C137">
        <f t="shared" ref="C137:Z137" si="54">(((($AC68-EXP(52.57-6690.9/(273.15+$AE68)-4.681*LN(273.15+$AE68)))/1013)*C68/100*0.2095*(48.998-1.335*$AE68+0.02755*POWER($AE68,2)-0.000322*POWER($AE68,3)+0.000001598*POWER($AE68,4))*32/22.414))*31.25</f>
        <v>194.52214710828261</v>
      </c>
      <c r="D137">
        <f t="shared" si="54"/>
        <v>228.88399605484253</v>
      </c>
      <c r="E137">
        <f t="shared" si="54"/>
        <v>137.32022388044169</v>
      </c>
      <c r="F137">
        <f t="shared" si="54"/>
        <v>219.77848759972153</v>
      </c>
      <c r="G137">
        <f t="shared" si="54"/>
        <v>176.28569581688114</v>
      </c>
      <c r="H137">
        <f t="shared" si="54"/>
        <v>172.54684178642643</v>
      </c>
      <c r="I137">
        <f t="shared" si="54"/>
        <v>174.04747027484021</v>
      </c>
      <c r="J137">
        <f t="shared" si="54"/>
        <v>258.41331258108676</v>
      </c>
      <c r="K137">
        <f t="shared" si="54"/>
        <v>241.32140844186526</v>
      </c>
      <c r="L137">
        <f t="shared" si="54"/>
        <v>160.64355140375437</v>
      </c>
      <c r="M137">
        <f t="shared" si="54"/>
        <v>158.07467890663918</v>
      </c>
      <c r="N137">
        <f t="shared" si="54"/>
        <v>149.65589874282625</v>
      </c>
      <c r="O137">
        <f t="shared" si="54"/>
        <v>203.37331175180805</v>
      </c>
      <c r="P137">
        <f t="shared" si="54"/>
        <v>258.82026267963965</v>
      </c>
      <c r="Q137">
        <f t="shared" si="54"/>
        <v>167.6888749849513</v>
      </c>
      <c r="R137">
        <f t="shared" si="54"/>
        <v>215.04769270404415</v>
      </c>
      <c r="S137">
        <f t="shared" si="54"/>
        <v>215.45464280259702</v>
      </c>
      <c r="T137">
        <f t="shared" si="54"/>
        <v>201.82181450107512</v>
      </c>
      <c r="U137">
        <f t="shared" si="54"/>
        <v>238.09124203460166</v>
      </c>
      <c r="V137">
        <f t="shared" si="54"/>
        <v>217.03157443448947</v>
      </c>
      <c r="W137">
        <f t="shared" si="54"/>
        <v>198.36273866337555</v>
      </c>
      <c r="X137">
        <f t="shared" si="54"/>
        <v>148.18070463557197</v>
      </c>
      <c r="Y137">
        <f t="shared" si="54"/>
        <v>188.01094553143639</v>
      </c>
      <c r="Z137">
        <f t="shared" si="54"/>
        <v>245.74699076362802</v>
      </c>
    </row>
    <row r="138" spans="2:26" x14ac:dyDescent="0.25">
      <c r="B138">
        <v>13.82</v>
      </c>
      <c r="C138">
        <f t="shared" ref="C138:Z138" si="55">(((($AC69-EXP(52.57-6690.9/(273.15+$AE69)-4.681*LN(273.15+$AE69)))/1013)*C69/100*0.2095*(48.998-1.335*$AE69+0.02755*POWER($AE69,2)-0.000322*POWER($AE69,3)+0.000001598*POWER($AE69,4))*32/22.414))*31.25</f>
        <v>194.21394687628984</v>
      </c>
      <c r="D138">
        <f t="shared" si="55"/>
        <v>229.3775358430176</v>
      </c>
      <c r="E138">
        <f t="shared" si="55"/>
        <v>137.01586583634494</v>
      </c>
      <c r="F138">
        <f t="shared" si="55"/>
        <v>219.4543812142015</v>
      </c>
      <c r="G138">
        <f t="shared" si="55"/>
        <v>175.61439294381671</v>
      </c>
      <c r="H138">
        <f t="shared" si="55"/>
        <v>171.87412696833988</v>
      </c>
      <c r="I138">
        <f t="shared" si="55"/>
        <v>174.49485754979639</v>
      </c>
      <c r="J138">
        <f t="shared" si="55"/>
        <v>258.5109000737724</v>
      </c>
      <c r="K138">
        <f t="shared" si="55"/>
        <v>241.79420112215149</v>
      </c>
      <c r="L138">
        <f t="shared" si="55"/>
        <v>160.34800120717657</v>
      </c>
      <c r="M138">
        <f t="shared" si="55"/>
        <v>157.39649880475946</v>
      </c>
      <c r="N138">
        <f t="shared" si="55"/>
        <v>150.06863077117222</v>
      </c>
      <c r="O138">
        <f t="shared" si="55"/>
        <v>203.45011387695715</v>
      </c>
      <c r="P138">
        <f t="shared" si="55"/>
        <v>260.16475917857514</v>
      </c>
      <c r="Q138">
        <f t="shared" si="55"/>
        <v>169.25339638688331</v>
      </c>
      <c r="R138">
        <f t="shared" si="55"/>
        <v>215.53600733513053</v>
      </c>
      <c r="S138">
        <f t="shared" si="55"/>
        <v>215.91766712854655</v>
      </c>
      <c r="T138">
        <f t="shared" si="55"/>
        <v>201.13471113023337</v>
      </c>
      <c r="U138">
        <f t="shared" si="55"/>
        <v>238.18115507781337</v>
      </c>
      <c r="V138">
        <f t="shared" si="55"/>
        <v>215.91766712854655</v>
      </c>
      <c r="W138">
        <f t="shared" si="55"/>
        <v>198.81930838350968</v>
      </c>
      <c r="X138">
        <f t="shared" si="55"/>
        <v>148.61832355619143</v>
      </c>
      <c r="Y138">
        <f t="shared" si="55"/>
        <v>187.31862660857414</v>
      </c>
      <c r="Z138">
        <f t="shared" si="55"/>
        <v>246.65400249164861</v>
      </c>
    </row>
    <row r="139" spans="2:26" x14ac:dyDescent="0.25">
      <c r="B139">
        <v>14.07</v>
      </c>
      <c r="C139">
        <f t="shared" ref="C139:Z139" si="56">(((($AC70-EXP(52.57-6690.9/(273.15+$AE70)-4.681*LN(273.15+$AE70)))/1013)*C70/100*0.2095*(48.998-1.335*$AE70+0.02755*POWER($AE70,2)-0.000322*POWER($AE70,3)+0.000001598*POWER($AE70,4))*32/22.414))*31.25</f>
        <v>194.1406313908893</v>
      </c>
      <c r="D139">
        <f t="shared" si="56"/>
        <v>228.88399605484253</v>
      </c>
      <c r="E139">
        <f t="shared" si="56"/>
        <v>136.9641425442079</v>
      </c>
      <c r="F139">
        <f t="shared" si="56"/>
        <v>220.16000331711484</v>
      </c>
      <c r="G139">
        <f t="shared" si="56"/>
        <v>175.92961448064733</v>
      </c>
      <c r="H139">
        <f t="shared" si="56"/>
        <v>172.16532606903309</v>
      </c>
      <c r="I139">
        <f t="shared" si="56"/>
        <v>173.28443884005355</v>
      </c>
      <c r="J139">
        <f t="shared" si="56"/>
        <v>258.82026267963965</v>
      </c>
      <c r="K139">
        <f t="shared" si="56"/>
        <v>241.70292415925863</v>
      </c>
      <c r="L139">
        <f t="shared" si="56"/>
        <v>161.76266417477478</v>
      </c>
      <c r="M139">
        <f t="shared" si="56"/>
        <v>156.98100051677829</v>
      </c>
      <c r="N139">
        <f t="shared" si="56"/>
        <v>148.9183016891991</v>
      </c>
      <c r="O139">
        <f t="shared" si="56"/>
        <v>203.37331175180805</v>
      </c>
      <c r="P139">
        <f t="shared" si="56"/>
        <v>259.22721277819255</v>
      </c>
      <c r="Q139">
        <f t="shared" si="56"/>
        <v>169.18950347336505</v>
      </c>
      <c r="R139">
        <f t="shared" si="56"/>
        <v>214.66617698665081</v>
      </c>
      <c r="S139">
        <f t="shared" si="56"/>
        <v>216.24310861854326</v>
      </c>
      <c r="T139">
        <f t="shared" si="56"/>
        <v>201.44029878368184</v>
      </c>
      <c r="U139">
        <f t="shared" si="56"/>
        <v>238.09124203460166</v>
      </c>
      <c r="V139">
        <f t="shared" si="56"/>
        <v>216.6246243359366</v>
      </c>
      <c r="W139">
        <f t="shared" si="56"/>
        <v>199.12577009816226</v>
      </c>
      <c r="X139">
        <f t="shared" si="56"/>
        <v>148.56222035296534</v>
      </c>
      <c r="Y139">
        <f t="shared" si="56"/>
        <v>188.01094553143639</v>
      </c>
      <c r="Z139">
        <f t="shared" si="56"/>
        <v>245.74699076362802</v>
      </c>
    </row>
    <row r="140" spans="2:26" x14ac:dyDescent="0.25">
      <c r="B140">
        <v>14.32</v>
      </c>
      <c r="C140">
        <f t="shared" ref="C140:Z140" si="57">(((($AC71-EXP(52.57-6690.9/(273.15+$AE71)-4.681*LN(273.15+$AE71)))/1013)*C71/100*0.2095*(48.998-1.335*$AE71+0.02755*POWER($AE71,2)-0.000322*POWER($AE71,3)+0.000001598*POWER($AE71,4))*32/22.414))*31.25</f>
        <v>194.52214710828261</v>
      </c>
      <c r="D140">
        <f t="shared" si="57"/>
        <v>228.47704595628963</v>
      </c>
      <c r="E140">
        <f t="shared" si="57"/>
        <v>135.89589853550655</v>
      </c>
      <c r="F140">
        <f t="shared" si="57"/>
        <v>219.37153750116858</v>
      </c>
      <c r="G140">
        <f t="shared" si="57"/>
        <v>176.28569581688114</v>
      </c>
      <c r="H140">
        <f t="shared" si="57"/>
        <v>171.04621329801265</v>
      </c>
      <c r="I140">
        <f t="shared" si="57"/>
        <v>172.92835750381977</v>
      </c>
      <c r="J140">
        <f t="shared" si="57"/>
        <v>258.82026267963965</v>
      </c>
      <c r="K140">
        <f t="shared" si="57"/>
        <v>242.1098742578115</v>
      </c>
      <c r="L140">
        <f t="shared" si="57"/>
        <v>162.50026122840191</v>
      </c>
      <c r="M140">
        <f t="shared" si="57"/>
        <v>156.24340346315117</v>
      </c>
      <c r="N140">
        <f t="shared" si="57"/>
        <v>149.27438302543288</v>
      </c>
      <c r="O140">
        <f t="shared" si="57"/>
        <v>202.99179603441473</v>
      </c>
      <c r="P140">
        <f t="shared" si="57"/>
        <v>260.47349745501077</v>
      </c>
      <c r="Q140">
        <f t="shared" si="57"/>
        <v>169.92710052699223</v>
      </c>
      <c r="R140">
        <f t="shared" si="57"/>
        <v>214.28466126925747</v>
      </c>
      <c r="S140">
        <f t="shared" si="57"/>
        <v>215.83615851999039</v>
      </c>
      <c r="T140">
        <f t="shared" si="57"/>
        <v>201.0587830662885</v>
      </c>
      <c r="U140">
        <f t="shared" si="57"/>
        <v>237.27734183749592</v>
      </c>
      <c r="V140">
        <f t="shared" si="57"/>
        <v>216.24310861854326</v>
      </c>
      <c r="W140">
        <f t="shared" si="57"/>
        <v>199.12577009816226</v>
      </c>
      <c r="X140">
        <f t="shared" si="57"/>
        <v>148.18070463557197</v>
      </c>
      <c r="Y140">
        <f t="shared" si="57"/>
        <v>187.62942981404305</v>
      </c>
      <c r="Z140">
        <f t="shared" si="57"/>
        <v>245.74699076362802</v>
      </c>
    </row>
    <row r="141" spans="2:26" x14ac:dyDescent="0.25">
      <c r="B141">
        <v>14.57</v>
      </c>
      <c r="C141">
        <f t="shared" ref="C141:Z141" si="58">(((($AC72-EXP(52.57-6690.9/(273.15+$AE72)-4.681*LN(273.15+$AE72)))/1013)*C72/100*0.2095*(48.998-1.335*$AE72+0.02755*POWER($AE72,2)-0.000322*POWER($AE72,3)+0.000001598*POWER($AE72,4))*32/22.414))*31.25</f>
        <v>192.97064985754972</v>
      </c>
      <c r="D141">
        <f t="shared" si="58"/>
        <v>227.30706442295005</v>
      </c>
      <c r="E141">
        <f t="shared" si="58"/>
        <v>134.80222014564563</v>
      </c>
      <c r="F141">
        <f t="shared" si="58"/>
        <v>218.58307168522239</v>
      </c>
      <c r="G141">
        <f t="shared" si="58"/>
        <v>175.92961448064733</v>
      </c>
      <c r="H141">
        <f t="shared" si="58"/>
        <v>171.04621329801265</v>
      </c>
      <c r="I141">
        <f t="shared" si="58"/>
        <v>172.16532606903309</v>
      </c>
      <c r="J141">
        <f t="shared" si="58"/>
        <v>258.41331258108676</v>
      </c>
      <c r="K141">
        <f t="shared" si="58"/>
        <v>241.32140844186526</v>
      </c>
      <c r="L141">
        <f t="shared" si="58"/>
        <v>162.50026122840191</v>
      </c>
      <c r="M141">
        <f t="shared" si="58"/>
        <v>155.50580640952404</v>
      </c>
      <c r="N141">
        <f t="shared" si="58"/>
        <v>148.9183016891991</v>
      </c>
      <c r="O141">
        <f t="shared" si="58"/>
        <v>202.20333021846847</v>
      </c>
      <c r="P141">
        <f t="shared" si="58"/>
        <v>260.06654735645782</v>
      </c>
      <c r="Q141">
        <f t="shared" si="58"/>
        <v>170.30861624438555</v>
      </c>
      <c r="R141">
        <f t="shared" si="58"/>
        <v>214.66617698665081</v>
      </c>
      <c r="S141">
        <f t="shared" si="58"/>
        <v>215.04769270404415</v>
      </c>
      <c r="T141">
        <f t="shared" si="58"/>
        <v>201.0587830662885</v>
      </c>
      <c r="U141">
        <f t="shared" si="58"/>
        <v>237.68429193604882</v>
      </c>
      <c r="V141">
        <f t="shared" si="58"/>
        <v>215.45464280259702</v>
      </c>
      <c r="W141">
        <f t="shared" si="58"/>
        <v>202.20333021846847</v>
      </c>
      <c r="X141">
        <f t="shared" si="58"/>
        <v>147.82462329933819</v>
      </c>
      <c r="Y141">
        <f t="shared" si="58"/>
        <v>187.62942981404305</v>
      </c>
      <c r="Z141">
        <f t="shared" si="58"/>
        <v>245.36547504623462</v>
      </c>
    </row>
    <row r="142" spans="2:26" x14ac:dyDescent="0.25">
      <c r="B142">
        <v>14.82</v>
      </c>
      <c r="C142">
        <f t="shared" ref="C142:Z142" si="59">(((($AC73-EXP(52.57-6690.9/(273.15+$AE73)-4.681*LN(273.15+$AE73)))/1013)*C73/100*0.2095*(48.998-1.335*$AE73+0.02755*POWER($AE73,2)-0.000322*POWER($AE73,3)+0.000001598*POWER($AE73,4))*32/22.414))*31.25</f>
        <v>193.35216557494309</v>
      </c>
      <c r="D142">
        <f t="shared" si="59"/>
        <v>228.09553023889632</v>
      </c>
      <c r="E142">
        <f t="shared" si="59"/>
        <v>134.80222014564563</v>
      </c>
      <c r="F142">
        <f t="shared" si="59"/>
        <v>218.58307168522239</v>
      </c>
      <c r="G142">
        <f t="shared" si="59"/>
        <v>175.1665830458607</v>
      </c>
      <c r="H142">
        <f t="shared" si="59"/>
        <v>171.80924473279933</v>
      </c>
      <c r="I142">
        <f t="shared" si="59"/>
        <v>172.16532606903309</v>
      </c>
      <c r="J142">
        <f t="shared" si="59"/>
        <v>258.82026267963965</v>
      </c>
      <c r="K142">
        <f t="shared" si="59"/>
        <v>242.1098742578115</v>
      </c>
      <c r="L142">
        <f t="shared" si="59"/>
        <v>163.23785828202904</v>
      </c>
      <c r="M142">
        <f t="shared" si="59"/>
        <v>154.76820935589694</v>
      </c>
      <c r="N142">
        <f t="shared" si="59"/>
        <v>148.56222035296534</v>
      </c>
      <c r="O142">
        <f t="shared" si="59"/>
        <v>202.61028031702133</v>
      </c>
      <c r="P142">
        <f t="shared" si="59"/>
        <v>260.47349745501077</v>
      </c>
      <c r="Q142">
        <f t="shared" si="59"/>
        <v>169.57101919075842</v>
      </c>
      <c r="R142">
        <f t="shared" si="59"/>
        <v>213.8777111707046</v>
      </c>
      <c r="S142">
        <f t="shared" si="59"/>
        <v>215.45464280259702</v>
      </c>
      <c r="T142">
        <f t="shared" si="59"/>
        <v>201.0587830662885</v>
      </c>
      <c r="U142">
        <f t="shared" si="59"/>
        <v>237.27734183749592</v>
      </c>
      <c r="V142">
        <f t="shared" si="59"/>
        <v>216.24310861854326</v>
      </c>
      <c r="W142">
        <f t="shared" si="59"/>
        <v>200.67726734889513</v>
      </c>
      <c r="X142">
        <f t="shared" si="59"/>
        <v>147.46854196310443</v>
      </c>
      <c r="Y142">
        <f t="shared" si="59"/>
        <v>187.24791409664974</v>
      </c>
      <c r="Z142">
        <f t="shared" si="59"/>
        <v>245.36547504623462</v>
      </c>
    </row>
    <row r="143" spans="2:26" x14ac:dyDescent="0.25">
      <c r="B143">
        <v>15.07</v>
      </c>
      <c r="C143">
        <f t="shared" ref="C143:Z143" si="60">(((($AC74-EXP(52.57-6690.9/(273.15+$AE74)-4.681*LN(273.15+$AE74)))/1013)*C74/100*0.2095*(48.998-1.335*$AE74+0.02755*POWER($AE74,2)-0.000322*POWER($AE74,3)+0.000001598*POWER($AE74,4))*32/22.414))*31.25</f>
        <v>192.13508482133051</v>
      </c>
      <c r="D143">
        <f t="shared" si="60"/>
        <v>228.00945357651082</v>
      </c>
      <c r="E143">
        <f t="shared" si="60"/>
        <v>134.39540272139118</v>
      </c>
      <c r="F143">
        <f t="shared" si="60"/>
        <v>217.33104473372154</v>
      </c>
      <c r="G143">
        <f t="shared" si="60"/>
        <v>175.86322372755635</v>
      </c>
      <c r="H143">
        <f t="shared" si="60"/>
        <v>170.62571843799776</v>
      </c>
      <c r="I143">
        <f t="shared" si="60"/>
        <v>172.10035584962105</v>
      </c>
      <c r="J143">
        <f t="shared" si="60"/>
        <v>258.72259139100959</v>
      </c>
      <c r="K143">
        <f t="shared" si="60"/>
        <v>241.61171245958766</v>
      </c>
      <c r="L143">
        <f t="shared" si="60"/>
        <v>164.65089444262759</v>
      </c>
      <c r="M143">
        <f t="shared" si="60"/>
        <v>154.32843256126458</v>
      </c>
      <c r="N143">
        <f t="shared" si="60"/>
        <v>148.12478551926316</v>
      </c>
      <c r="O143">
        <f t="shared" si="60"/>
        <v>202.12702452422621</v>
      </c>
      <c r="P143">
        <f t="shared" si="60"/>
        <v>258.72259139100959</v>
      </c>
      <c r="Q143">
        <f t="shared" si="60"/>
        <v>170.24434669361239</v>
      </c>
      <c r="R143">
        <f t="shared" si="60"/>
        <v>213.00883163068769</v>
      </c>
      <c r="S143">
        <f t="shared" si="60"/>
        <v>215.37333644587679</v>
      </c>
      <c r="T143">
        <f t="shared" si="60"/>
        <v>200.98290929107017</v>
      </c>
      <c r="U143">
        <f t="shared" si="60"/>
        <v>238.40818980675087</v>
      </c>
      <c r="V143">
        <f t="shared" si="60"/>
        <v>215.37333644587679</v>
      </c>
      <c r="W143">
        <f t="shared" si="60"/>
        <v>201.7456527798409</v>
      </c>
      <c r="X143">
        <f t="shared" si="60"/>
        <v>147.76883855783683</v>
      </c>
      <c r="Y143">
        <f t="shared" si="60"/>
        <v>187.17725214432122</v>
      </c>
      <c r="Z143">
        <f t="shared" si="60"/>
        <v>245.65425295007222</v>
      </c>
    </row>
    <row r="144" spans="2:26" x14ac:dyDescent="0.25">
      <c r="B144">
        <v>15.32</v>
      </c>
      <c r="C144">
        <f t="shared" ref="C144:Z144" si="61">(((($AC75-EXP(52.57-6690.9/(273.15+$AE75)-4.681*LN(273.15+$AE75)))/1013)*C75/100*0.2095*(48.998-1.335*$AE75+0.02755*POWER($AE75,2)-0.000322*POWER($AE75,3)+0.000001598*POWER($AE75,4))*32/22.414))*31.25</f>
        <v>192.09883746393751</v>
      </c>
      <c r="D144">
        <f t="shared" si="61"/>
        <v>226.77169895670062</v>
      </c>
      <c r="E144">
        <f t="shared" si="61"/>
        <v>133.30240884754377</v>
      </c>
      <c r="F144">
        <f t="shared" si="61"/>
        <v>217.29004401769726</v>
      </c>
      <c r="G144">
        <f t="shared" si="61"/>
        <v>175.83004614768504</v>
      </c>
      <c r="H144">
        <f t="shared" si="61"/>
        <v>170.59352894276628</v>
      </c>
      <c r="I144">
        <f t="shared" si="61"/>
        <v>170.21222914629161</v>
      </c>
      <c r="J144">
        <f t="shared" si="61"/>
        <v>258.67378192841454</v>
      </c>
      <c r="K144">
        <f t="shared" si="61"/>
        <v>242.37957062573037</v>
      </c>
      <c r="L144">
        <f t="shared" si="61"/>
        <v>165.38243172427914</v>
      </c>
      <c r="M144">
        <f t="shared" si="61"/>
        <v>152.85037841347844</v>
      </c>
      <c r="N144">
        <f t="shared" si="61"/>
        <v>148.47814074723559</v>
      </c>
      <c r="O144">
        <f t="shared" si="61"/>
        <v>202.08889213157383</v>
      </c>
      <c r="P144">
        <f t="shared" si="61"/>
        <v>259.91936126356512</v>
      </c>
      <c r="Q144">
        <f t="shared" si="61"/>
        <v>171.330708549284</v>
      </c>
      <c r="R144">
        <f t="shared" si="61"/>
        <v>214.16338568660493</v>
      </c>
      <c r="S144">
        <f t="shared" si="61"/>
        <v>214.5446854830796</v>
      </c>
      <c r="T144">
        <f t="shared" si="61"/>
        <v>200.94499274214979</v>
      </c>
      <c r="U144">
        <f t="shared" si="61"/>
        <v>237.9564929866242</v>
      </c>
      <c r="V144">
        <f t="shared" si="61"/>
        <v>215.33270506246058</v>
      </c>
      <c r="W144">
        <f t="shared" si="61"/>
        <v>201.32629253862447</v>
      </c>
      <c r="X144">
        <f t="shared" si="61"/>
        <v>147.74096114071787</v>
      </c>
      <c r="Y144">
        <f t="shared" si="61"/>
        <v>186.40476050324918</v>
      </c>
      <c r="Z144">
        <f t="shared" si="61"/>
        <v>246.01462868545553</v>
      </c>
    </row>
    <row r="145" spans="2:29" x14ac:dyDescent="0.25">
      <c r="B145">
        <v>15.57</v>
      </c>
      <c r="C145">
        <f t="shared" ref="C145:Z145" si="62">(((($AC76-EXP(52.57-6690.9/(273.15+$AE76)-4.681*LN(273.15+$AE76)))/1013)*C76/100*0.2095*(48.998-1.335*$AE76+0.02755*POWER($AE76,2)-0.000322*POWER($AE76,3)+0.000001598*POWER($AE76,4))*32/22.414))*31.25</f>
        <v>191.75371307694516</v>
      </c>
      <c r="D145">
        <f t="shared" si="62"/>
        <v>227.6026570491664</v>
      </c>
      <c r="E145">
        <f t="shared" si="62"/>
        <v>132.61566791425963</v>
      </c>
      <c r="F145">
        <f t="shared" si="62"/>
        <v>216.94967298933616</v>
      </c>
      <c r="G145">
        <f t="shared" si="62"/>
        <v>175.48185198317097</v>
      </c>
      <c r="H145">
        <f t="shared" si="62"/>
        <v>170.62571843799776</v>
      </c>
      <c r="I145">
        <f t="shared" si="62"/>
        <v>169.86297494922712</v>
      </c>
      <c r="J145">
        <f t="shared" si="62"/>
        <v>257.90899833632085</v>
      </c>
      <c r="K145">
        <f t="shared" si="62"/>
        <v>242.01850898693198</v>
      </c>
      <c r="L145">
        <f t="shared" si="62"/>
        <v>165.76958489282453</v>
      </c>
      <c r="M145">
        <f t="shared" si="62"/>
        <v>152.49784818821496</v>
      </c>
      <c r="N145">
        <f t="shared" si="62"/>
        <v>147.41289159641056</v>
      </c>
      <c r="O145">
        <f t="shared" si="62"/>
        <v>201.36428103545555</v>
      </c>
      <c r="P145">
        <f t="shared" si="62"/>
        <v>259.12938791835393</v>
      </c>
      <c r="Q145">
        <f t="shared" si="62"/>
        <v>170.62571843799776</v>
      </c>
      <c r="R145">
        <f t="shared" si="62"/>
        <v>214.20379642976175</v>
      </c>
      <c r="S145">
        <f t="shared" si="62"/>
        <v>213.79699990241747</v>
      </c>
      <c r="T145">
        <f t="shared" si="62"/>
        <v>200.60153754668488</v>
      </c>
      <c r="U145">
        <f t="shared" si="62"/>
        <v>238.00139327940653</v>
      </c>
      <c r="V145">
        <f t="shared" si="62"/>
        <v>215.75470819026214</v>
      </c>
      <c r="W145">
        <f t="shared" si="62"/>
        <v>202.12702452422621</v>
      </c>
      <c r="X145">
        <f t="shared" si="62"/>
        <v>146.67557289059891</v>
      </c>
      <c r="Y145">
        <f t="shared" si="62"/>
        <v>186.79588039993587</v>
      </c>
      <c r="Z145">
        <f t="shared" si="62"/>
        <v>244.86608467834253</v>
      </c>
    </row>
    <row r="146" spans="2:29" x14ac:dyDescent="0.25">
      <c r="B146">
        <v>15.82</v>
      </c>
      <c r="C146">
        <f t="shared" ref="C146:Z146" si="63">(((($AC77-EXP(52.57-6690.9/(273.15+$AE77)-4.681*LN(273.15+$AE77)))/1013)*C77/100*0.2095*(48.998-1.335*$AE77+0.02755*POWER($AE77,2)-0.000322*POWER($AE77,3)+0.000001598*POWER($AE77,4))*32/22.414))*31.25</f>
        <v>191.30014731023411</v>
      </c>
      <c r="D146">
        <f t="shared" si="63"/>
        <v>226.72892442601284</v>
      </c>
      <c r="E146">
        <f t="shared" si="63"/>
        <v>132.92145216321569</v>
      </c>
      <c r="F146">
        <f t="shared" si="63"/>
        <v>216.46118701225777</v>
      </c>
      <c r="G146">
        <f t="shared" si="63"/>
        <v>176.15269310578356</v>
      </c>
      <c r="H146">
        <f t="shared" si="63"/>
        <v>170.91716363243316</v>
      </c>
      <c r="I146">
        <f t="shared" si="63"/>
        <v>168.6806267700311</v>
      </c>
      <c r="J146">
        <f t="shared" si="63"/>
        <v>259.03163297275233</v>
      </c>
      <c r="K146">
        <f t="shared" si="63"/>
        <v>242.33385207959114</v>
      </c>
      <c r="L146">
        <f t="shared" si="63"/>
        <v>165.35123666804617</v>
      </c>
      <c r="M146">
        <f t="shared" si="63"/>
        <v>152.82154720027077</v>
      </c>
      <c r="N146">
        <f t="shared" si="63"/>
        <v>147.3572810023565</v>
      </c>
      <c r="O146">
        <f t="shared" si="63"/>
        <v>202.05077336473514</v>
      </c>
      <c r="P146">
        <f t="shared" si="63"/>
        <v>259.87033429615315</v>
      </c>
      <c r="Q146">
        <f t="shared" si="63"/>
        <v>171.29839150670628</v>
      </c>
      <c r="R146">
        <f t="shared" si="63"/>
        <v>212.9284753773272</v>
      </c>
      <c r="S146">
        <f t="shared" si="63"/>
        <v>214.88544513192906</v>
      </c>
      <c r="T146">
        <f t="shared" si="63"/>
        <v>200.90708974191591</v>
      </c>
      <c r="U146">
        <f t="shared" si="63"/>
        <v>238.31825180391468</v>
      </c>
      <c r="V146">
        <f t="shared" si="63"/>
        <v>214.12298938338284</v>
      </c>
      <c r="W146">
        <f t="shared" si="63"/>
        <v>202.45741643062644</v>
      </c>
      <c r="X146">
        <f t="shared" si="63"/>
        <v>146.26442776277366</v>
      </c>
      <c r="Y146">
        <f t="shared" si="63"/>
        <v>187.10664069323022</v>
      </c>
      <c r="Z146">
        <f t="shared" si="63"/>
        <v>245.96822448099456</v>
      </c>
    </row>
    <row r="147" spans="2:29" x14ac:dyDescent="0.25">
      <c r="B147">
        <v>16.07</v>
      </c>
      <c r="C147">
        <f t="shared" ref="C147:Z147" si="64">(((($AC78-EXP(52.57-6690.9/(273.15+$AE78)-4.681*LN(273.15+$AE78)))/1013)*C78/100*0.2095*(48.998-1.335*$AE78+0.02755*POWER($AE78,2)-0.000322*POWER($AE78,3)+0.000001598*POWER($AE78,4))*32/22.414))*31.25</f>
        <v>190.91891943596113</v>
      </c>
      <c r="D147">
        <f t="shared" si="64"/>
        <v>227.13556749190414</v>
      </c>
      <c r="E147">
        <f t="shared" si="64"/>
        <v>131.14238874994132</v>
      </c>
      <c r="F147">
        <f t="shared" si="64"/>
        <v>215.29208819782031</v>
      </c>
      <c r="G147">
        <f t="shared" si="64"/>
        <v>175.4156525488556</v>
      </c>
      <c r="H147">
        <f t="shared" si="64"/>
        <v>170.56135094977833</v>
      </c>
      <c r="I147">
        <f t="shared" si="64"/>
        <v>168.6806267700311</v>
      </c>
      <c r="J147">
        <f t="shared" si="64"/>
        <v>257.81170377507846</v>
      </c>
      <c r="K147">
        <f t="shared" si="64"/>
        <v>241.52056594780854</v>
      </c>
      <c r="L147">
        <f t="shared" si="64"/>
        <v>166.82531778190213</v>
      </c>
      <c r="M147">
        <f t="shared" si="64"/>
        <v>150.99165340375998</v>
      </c>
      <c r="N147">
        <f t="shared" si="64"/>
        <v>146.62024044542855</v>
      </c>
      <c r="O147">
        <f t="shared" si="64"/>
        <v>201.28831761618898</v>
      </c>
      <c r="P147">
        <f t="shared" si="64"/>
        <v>260.68362042793564</v>
      </c>
      <c r="Q147">
        <f t="shared" si="64"/>
        <v>170.56135094977833</v>
      </c>
      <c r="R147">
        <f t="shared" si="64"/>
        <v>213.33511844321845</v>
      </c>
      <c r="S147">
        <f t="shared" si="64"/>
        <v>212.9284753773272</v>
      </c>
      <c r="T147">
        <f t="shared" si="64"/>
        <v>201.28831761618898</v>
      </c>
      <c r="U147">
        <f t="shared" si="64"/>
        <v>237.91160873802338</v>
      </c>
      <c r="V147">
        <f t="shared" si="64"/>
        <v>214.50421725765597</v>
      </c>
      <c r="W147">
        <f t="shared" si="64"/>
        <v>202.45741643062644</v>
      </c>
      <c r="X147">
        <f t="shared" si="64"/>
        <v>145.8831998885006</v>
      </c>
      <c r="Y147">
        <f t="shared" si="64"/>
        <v>186.36960013630221</v>
      </c>
      <c r="Z147">
        <f t="shared" si="64"/>
        <v>244.77371047493892</v>
      </c>
    </row>
    <row r="148" spans="2:29" x14ac:dyDescent="0.25">
      <c r="B148">
        <v>16.32</v>
      </c>
      <c r="C148">
        <f t="shared" ref="C148:Z148" si="65">(((($AC79-EXP(52.57-6690.9/(273.15+$AE79)-4.681*LN(273.15+$AE79)))/1013)*C79/100*0.2095*(48.998-1.335*$AE79+0.02755*POWER($AE79,2)-0.000322*POWER($AE79,3)+0.000001598*POWER($AE79,4))*32/22.414))*31.25</f>
        <v>191.30014731023411</v>
      </c>
      <c r="D148">
        <f t="shared" si="65"/>
        <v>226.32228136012154</v>
      </c>
      <c r="E148">
        <f t="shared" si="65"/>
        <v>131.14238874994132</v>
      </c>
      <c r="F148">
        <f t="shared" si="65"/>
        <v>215.6733160720934</v>
      </c>
      <c r="G148">
        <f t="shared" si="65"/>
        <v>175.03442467458251</v>
      </c>
      <c r="H148">
        <f t="shared" si="65"/>
        <v>170.91716363243316</v>
      </c>
      <c r="I148">
        <f t="shared" si="65"/>
        <v>168.32481408737624</v>
      </c>
      <c r="J148">
        <f t="shared" si="65"/>
        <v>257.40506070918713</v>
      </c>
      <c r="K148">
        <f t="shared" si="65"/>
        <v>241.52056594780854</v>
      </c>
      <c r="L148">
        <f t="shared" si="65"/>
        <v>167.20654565617522</v>
      </c>
      <c r="M148">
        <f t="shared" si="65"/>
        <v>151.72869396068791</v>
      </c>
      <c r="N148">
        <f t="shared" si="65"/>
        <v>146.62024044542855</v>
      </c>
      <c r="O148">
        <f t="shared" si="65"/>
        <v>201.28831761618898</v>
      </c>
      <c r="P148">
        <f t="shared" si="65"/>
        <v>260.27697736204436</v>
      </c>
      <c r="Q148">
        <f t="shared" si="65"/>
        <v>171.67961938097935</v>
      </c>
      <c r="R148">
        <f t="shared" si="65"/>
        <v>212.54724750305405</v>
      </c>
      <c r="S148">
        <f t="shared" si="65"/>
        <v>214.50421725765597</v>
      </c>
      <c r="T148">
        <f t="shared" si="65"/>
        <v>200.90708974191591</v>
      </c>
      <c r="U148">
        <f t="shared" si="65"/>
        <v>237.91160873802338</v>
      </c>
      <c r="V148">
        <f t="shared" si="65"/>
        <v>214.88544513192906</v>
      </c>
      <c r="W148">
        <f t="shared" si="65"/>
        <v>202.05077336473514</v>
      </c>
      <c r="X148">
        <f t="shared" si="65"/>
        <v>145.52738720584574</v>
      </c>
      <c r="Y148">
        <f t="shared" si="65"/>
        <v>187.48786856750326</v>
      </c>
      <c r="Z148">
        <f t="shared" si="65"/>
        <v>245.18035354083023</v>
      </c>
    </row>
    <row r="149" spans="2:29" x14ac:dyDescent="0.25">
      <c r="B149">
        <v>16.57</v>
      </c>
      <c r="C149">
        <f t="shared" ref="C149:Z149" si="66">(((($AC80-EXP(52.57-6690.9/(273.15+$AE80)-4.681*LN(273.15+$AE80)))/1013)*C80/100*0.2095*(48.998-1.335*$AE80+0.02755*POWER($AE80,2)-0.000322*POWER($AE80,3)+0.000001598*POWER($AE80,4))*32/22.414))*31.25</f>
        <v>190.60959784378915</v>
      </c>
      <c r="D149">
        <f t="shared" si="66"/>
        <v>226.02632050570708</v>
      </c>
      <c r="E149">
        <f t="shared" si="66"/>
        <v>130.83593310712811</v>
      </c>
      <c r="F149">
        <f t="shared" si="66"/>
        <v>214.58516817414713</v>
      </c>
      <c r="G149">
        <f t="shared" si="66"/>
        <v>176.60054243336793</v>
      </c>
      <c r="H149">
        <f t="shared" si="66"/>
        <v>170.24434669361239</v>
      </c>
      <c r="I149">
        <f t="shared" si="66"/>
        <v>168.38833753760383</v>
      </c>
      <c r="J149">
        <f t="shared" si="66"/>
        <v>258.72259139100959</v>
      </c>
      <c r="K149">
        <f t="shared" si="66"/>
        <v>242.01850898693198</v>
      </c>
      <c r="L149">
        <f t="shared" si="66"/>
        <v>168.38833753760383</v>
      </c>
      <c r="M149">
        <f t="shared" si="66"/>
        <v>149.59942293088642</v>
      </c>
      <c r="N149">
        <f t="shared" si="66"/>
        <v>146.67557289059891</v>
      </c>
      <c r="O149">
        <f t="shared" si="66"/>
        <v>201.36428103545555</v>
      </c>
      <c r="P149">
        <f t="shared" si="66"/>
        <v>259.96840575600169</v>
      </c>
      <c r="Q149">
        <f t="shared" si="66"/>
        <v>172.10035584962105</v>
      </c>
      <c r="R149">
        <f t="shared" si="66"/>
        <v>213.00883163068769</v>
      </c>
      <c r="S149">
        <f t="shared" si="66"/>
        <v>214.58516817414713</v>
      </c>
      <c r="T149">
        <f t="shared" si="66"/>
        <v>201.36428103545555</v>
      </c>
      <c r="U149">
        <f t="shared" si="66"/>
        <v>238.00139327940653</v>
      </c>
      <c r="V149">
        <f t="shared" si="66"/>
        <v>214.58516817414713</v>
      </c>
      <c r="W149">
        <f t="shared" si="66"/>
        <v>201.36428103545555</v>
      </c>
      <c r="X149">
        <f t="shared" si="66"/>
        <v>145.58230722336094</v>
      </c>
      <c r="Y149">
        <f t="shared" si="66"/>
        <v>189.0841108662479</v>
      </c>
      <c r="Z149">
        <f t="shared" si="66"/>
        <v>245.65425295007222</v>
      </c>
    </row>
    <row r="150" spans="2:29" x14ac:dyDescent="0.25">
      <c r="B150">
        <v>16.82</v>
      </c>
      <c r="C150">
        <f t="shared" ref="C150:Z150" si="67">(((($AC81-EXP(52.57-6690.9/(273.15+$AE81)-4.681*LN(273.15+$AE81)))/1013)*C81/100*0.2095*(48.998-1.335*$AE81+0.02755*POWER($AE81,2)-0.000322*POWER($AE81,3)+0.000001598*POWER($AE81,4))*32/22.414))*31.25</f>
        <v>190.57363827803886</v>
      </c>
      <c r="D150">
        <f t="shared" si="67"/>
        <v>226.77169895670062</v>
      </c>
      <c r="E150">
        <f t="shared" si="67"/>
        <v>129.71819076068192</v>
      </c>
      <c r="F150">
        <f t="shared" si="67"/>
        <v>214.5446854830796</v>
      </c>
      <c r="G150">
        <f t="shared" si="67"/>
        <v>176.18592595772807</v>
      </c>
      <c r="H150">
        <f t="shared" si="67"/>
        <v>170.21222914629161</v>
      </c>
      <c r="I150">
        <f t="shared" si="67"/>
        <v>166.11961133079683</v>
      </c>
      <c r="J150">
        <f t="shared" si="67"/>
        <v>258.67378192841454</v>
      </c>
      <c r="K150">
        <f t="shared" si="67"/>
        <v>241.97285084282407</v>
      </c>
      <c r="L150">
        <f t="shared" si="67"/>
        <v>168.71244994682459</v>
      </c>
      <c r="M150">
        <f t="shared" si="67"/>
        <v>149.92707997383931</v>
      </c>
      <c r="N150">
        <f t="shared" si="67"/>
        <v>146.64790172415718</v>
      </c>
      <c r="O150">
        <f t="shared" si="67"/>
        <v>201.32629253862447</v>
      </c>
      <c r="P150">
        <f t="shared" si="67"/>
        <v>260.32608104647136</v>
      </c>
      <c r="Q150">
        <f t="shared" si="67"/>
        <v>172.83048774875101</v>
      </c>
      <c r="R150">
        <f t="shared" si="67"/>
        <v>212.20604673136833</v>
      </c>
      <c r="S150">
        <f t="shared" si="67"/>
        <v>213.75666590369869</v>
      </c>
      <c r="T150">
        <f t="shared" si="67"/>
        <v>201.32629253862447</v>
      </c>
      <c r="U150">
        <f t="shared" si="67"/>
        <v>237.9564929866242</v>
      </c>
      <c r="V150">
        <f t="shared" si="67"/>
        <v>214.16338568660493</v>
      </c>
      <c r="W150">
        <f t="shared" si="67"/>
        <v>203.25821150742942</v>
      </c>
      <c r="X150">
        <f t="shared" si="67"/>
        <v>144.46178289103577</v>
      </c>
      <c r="Y150">
        <f t="shared" si="67"/>
        <v>189.0484390921402</v>
      </c>
      <c r="Z150">
        <f t="shared" si="67"/>
        <v>244.81988932316827</v>
      </c>
    </row>
    <row r="152" spans="2:29" ht="15.75" thickBot="1" x14ac:dyDescent="0.3"/>
    <row r="153" spans="2:29" ht="39.75" thickBot="1" x14ac:dyDescent="0.3">
      <c r="C153" s="4" t="s">
        <v>132</v>
      </c>
      <c r="D153" s="5" t="s">
        <v>133</v>
      </c>
      <c r="E153" s="6" t="s">
        <v>134</v>
      </c>
      <c r="F153" s="1" t="s">
        <v>150</v>
      </c>
      <c r="G153" s="4" t="s">
        <v>135</v>
      </c>
      <c r="H153" s="5" t="s">
        <v>136</v>
      </c>
      <c r="I153" s="3" t="s">
        <v>137</v>
      </c>
      <c r="J153" s="1" t="s">
        <v>138</v>
      </c>
      <c r="K153" s="2" t="s">
        <v>127</v>
      </c>
      <c r="L153" s="6" t="s">
        <v>139</v>
      </c>
      <c r="M153" s="3" t="s">
        <v>140</v>
      </c>
      <c r="N153" s="7" t="s">
        <v>141</v>
      </c>
      <c r="O153" s="4" t="s">
        <v>142</v>
      </c>
      <c r="P153" s="2" t="s">
        <v>127</v>
      </c>
      <c r="Q153" s="3" t="s">
        <v>143</v>
      </c>
      <c r="R153" s="7" t="s">
        <v>144</v>
      </c>
      <c r="S153" s="5" t="s">
        <v>145</v>
      </c>
      <c r="T153" s="6" t="s">
        <v>146</v>
      </c>
      <c r="U153" s="2" t="s">
        <v>127</v>
      </c>
      <c r="V153" s="7" t="s">
        <v>147</v>
      </c>
      <c r="W153" s="8" t="s">
        <v>148</v>
      </c>
      <c r="X153" s="9" t="s">
        <v>149</v>
      </c>
      <c r="Y153" s="1" t="s">
        <v>151</v>
      </c>
      <c r="Z153" s="2" t="s">
        <v>127</v>
      </c>
      <c r="AC153" t="s">
        <v>128</v>
      </c>
    </row>
    <row r="154" spans="2:29" x14ac:dyDescent="0.25">
      <c r="B154" t="s">
        <v>129</v>
      </c>
      <c r="C154">
        <f>SLOPE(C83:C150,$B$83:$B$150)</f>
        <v>-1.4522671633942508</v>
      </c>
      <c r="D154">
        <f t="shared" ref="D154:Z154" si="68">SLOPE(D83:D150,$B$83:$B$150)</f>
        <v>-1.1977649618156887</v>
      </c>
      <c r="E154">
        <f t="shared" si="68"/>
        <v>-2.8989061715904727</v>
      </c>
      <c r="F154">
        <f t="shared" si="68"/>
        <v>-1.8448577483946822</v>
      </c>
      <c r="G154">
        <f t="shared" si="68"/>
        <v>-1.2528632623293388</v>
      </c>
      <c r="H154">
        <f t="shared" si="68"/>
        <v>-1.9174234327733994</v>
      </c>
      <c r="I154">
        <f t="shared" si="68"/>
        <v>-2.5376817043638189</v>
      </c>
      <c r="J154">
        <f t="shared" si="68"/>
        <v>3.6009028030139036E-2</v>
      </c>
      <c r="K154">
        <f t="shared" si="68"/>
        <v>1.4421960699752344E-2</v>
      </c>
      <c r="L154">
        <f t="shared" si="68"/>
        <v>-0.67818107037270869</v>
      </c>
      <c r="M154">
        <f t="shared" si="68"/>
        <v>-3.7979106567636332</v>
      </c>
      <c r="N154">
        <f t="shared" si="68"/>
        <v>-2.2255121821577419</v>
      </c>
      <c r="O154">
        <f t="shared" si="68"/>
        <v>-0.97159662735559038</v>
      </c>
      <c r="P154">
        <f t="shared" si="68"/>
        <v>0.194571103917975</v>
      </c>
      <c r="Q154">
        <f t="shared" si="68"/>
        <v>-1.5578786217602454</v>
      </c>
      <c r="R154">
        <f t="shared" si="68"/>
        <v>-1.4407530029151707</v>
      </c>
      <c r="S154">
        <f t="shared" si="68"/>
        <v>-1.340428697623387</v>
      </c>
      <c r="T154">
        <f t="shared" si="68"/>
        <v>-1.8491103517823286</v>
      </c>
      <c r="U154">
        <f t="shared" si="68"/>
        <v>0.10935947483128376</v>
      </c>
      <c r="V154">
        <f t="shared" si="68"/>
        <v>-1.2655198968327495</v>
      </c>
      <c r="W154">
        <f t="shared" si="68"/>
        <v>-4.3205768231799557E-2</v>
      </c>
      <c r="X154">
        <f t="shared" si="68"/>
        <v>-1.6263056370790194</v>
      </c>
      <c r="Y154">
        <f t="shared" si="68"/>
        <v>-2.5876491840804245</v>
      </c>
      <c r="Z154">
        <f t="shared" si="68"/>
        <v>-0.19340433725308417</v>
      </c>
      <c r="AC154">
        <f>AVERAGE(P155,K155)</f>
        <v>-0.10449653230886367</v>
      </c>
    </row>
    <row r="155" spans="2:29" x14ac:dyDescent="0.25">
      <c r="B155" t="s">
        <v>130</v>
      </c>
      <c r="C155">
        <f>C154*-1</f>
        <v>1.4522671633942508</v>
      </c>
      <c r="D155">
        <f t="shared" ref="D155:Z155" si="69">D154*-1</f>
        <v>1.1977649618156887</v>
      </c>
      <c r="E155">
        <f t="shared" si="69"/>
        <v>2.8989061715904727</v>
      </c>
      <c r="F155">
        <f t="shared" si="69"/>
        <v>1.8448577483946822</v>
      </c>
      <c r="G155">
        <f t="shared" si="69"/>
        <v>1.2528632623293388</v>
      </c>
      <c r="H155">
        <f t="shared" si="69"/>
        <v>1.9174234327733994</v>
      </c>
      <c r="I155">
        <f t="shared" si="69"/>
        <v>2.5376817043638189</v>
      </c>
      <c r="J155">
        <f t="shared" si="69"/>
        <v>-3.6009028030139036E-2</v>
      </c>
      <c r="K155">
        <f t="shared" si="69"/>
        <v>-1.4421960699752344E-2</v>
      </c>
      <c r="L155">
        <f t="shared" si="69"/>
        <v>0.67818107037270869</v>
      </c>
      <c r="M155">
        <f t="shared" si="69"/>
        <v>3.7979106567636332</v>
      </c>
      <c r="N155">
        <f t="shared" si="69"/>
        <v>2.2255121821577419</v>
      </c>
      <c r="O155">
        <f t="shared" si="69"/>
        <v>0.97159662735559038</v>
      </c>
      <c r="P155">
        <f t="shared" si="69"/>
        <v>-0.194571103917975</v>
      </c>
      <c r="Q155">
        <f t="shared" si="69"/>
        <v>1.5578786217602454</v>
      </c>
      <c r="R155">
        <f t="shared" si="69"/>
        <v>1.4407530029151707</v>
      </c>
      <c r="S155">
        <f t="shared" si="69"/>
        <v>1.340428697623387</v>
      </c>
      <c r="T155">
        <f t="shared" si="69"/>
        <v>1.8491103517823286</v>
      </c>
      <c r="U155">
        <f t="shared" si="69"/>
        <v>-0.10935947483128376</v>
      </c>
      <c r="V155">
        <f t="shared" si="69"/>
        <v>1.2655198968327495</v>
      </c>
      <c r="W155">
        <f t="shared" si="69"/>
        <v>4.3205768231799557E-2</v>
      </c>
      <c r="X155">
        <f t="shared" si="69"/>
        <v>1.6263056370790194</v>
      </c>
      <c r="Y155">
        <f t="shared" si="69"/>
        <v>2.5876491840804245</v>
      </c>
      <c r="Z155">
        <f t="shared" si="69"/>
        <v>0.19340433725308417</v>
      </c>
    </row>
    <row r="156" spans="2:29" x14ac:dyDescent="0.25">
      <c r="B156" t="s">
        <v>131</v>
      </c>
      <c r="C156">
        <f>C155-$AC$154</f>
        <v>1.5567636957031143</v>
      </c>
      <c r="D156">
        <f t="shared" ref="D156:Z156" si="70">D155-$AC$154</f>
        <v>1.3022614941245523</v>
      </c>
      <c r="E156">
        <f t="shared" si="70"/>
        <v>3.0034027038993365</v>
      </c>
      <c r="F156">
        <f t="shared" si="70"/>
        <v>1.9493542807035458</v>
      </c>
      <c r="G156">
        <f t="shared" si="70"/>
        <v>1.3573597946382023</v>
      </c>
      <c r="H156">
        <f t="shared" si="70"/>
        <v>2.021919965082263</v>
      </c>
      <c r="I156">
        <f t="shared" si="70"/>
        <v>2.6421782366726827</v>
      </c>
      <c r="J156">
        <f t="shared" si="70"/>
        <v>6.8487504278724631E-2</v>
      </c>
      <c r="K156">
        <f t="shared" si="70"/>
        <v>9.0074571609111337E-2</v>
      </c>
      <c r="L156">
        <f t="shared" si="70"/>
        <v>0.78267760268157238</v>
      </c>
      <c r="M156">
        <f t="shared" si="70"/>
        <v>3.902407189072497</v>
      </c>
      <c r="N156">
        <f t="shared" si="70"/>
        <v>2.3300087144666057</v>
      </c>
      <c r="O156">
        <f t="shared" si="70"/>
        <v>1.0760931596644541</v>
      </c>
      <c r="P156">
        <f t="shared" si="70"/>
        <v>-9.0074571609111323E-2</v>
      </c>
      <c r="Q156">
        <f t="shared" si="70"/>
        <v>1.662375154069109</v>
      </c>
      <c r="R156">
        <f t="shared" si="70"/>
        <v>1.5452495352240343</v>
      </c>
      <c r="S156">
        <f t="shared" si="70"/>
        <v>1.4449252299322506</v>
      </c>
      <c r="T156">
        <f t="shared" si="70"/>
        <v>1.9536068840911922</v>
      </c>
      <c r="U156">
        <f t="shared" si="70"/>
        <v>-4.8629425224200884E-3</v>
      </c>
      <c r="V156">
        <f t="shared" si="70"/>
        <v>1.370016429141613</v>
      </c>
      <c r="W156">
        <f t="shared" si="70"/>
        <v>0.14770230054066324</v>
      </c>
      <c r="X156">
        <f t="shared" si="70"/>
        <v>1.730802169387883</v>
      </c>
      <c r="Y156">
        <f t="shared" si="70"/>
        <v>2.6921457163892883</v>
      </c>
      <c r="Z156">
        <f t="shared" si="70"/>
        <v>0.29790086956194783</v>
      </c>
    </row>
    <row r="158" spans="2:29" x14ac:dyDescent="0.25">
      <c r="C158">
        <v>1.5567636957031143</v>
      </c>
      <c r="D158">
        <v>1.3022614941245523</v>
      </c>
      <c r="E158">
        <v>3.0034027038993365</v>
      </c>
      <c r="F158">
        <v>1.9493542807035458</v>
      </c>
      <c r="G158">
        <v>1.3573597946382023</v>
      </c>
      <c r="H158">
        <v>2.021919965082263</v>
      </c>
      <c r="I158">
        <v>2.6421782366726827</v>
      </c>
      <c r="J158">
        <v>6.8487504278724631E-2</v>
      </c>
      <c r="K158">
        <v>9.0074571609111337E-2</v>
      </c>
      <c r="L158">
        <v>0.78267760268157238</v>
      </c>
      <c r="M158">
        <v>3.902407189072497</v>
      </c>
      <c r="N158">
        <v>2.3300087144666057</v>
      </c>
      <c r="O158">
        <v>1.0760931596644541</v>
      </c>
      <c r="P158">
        <v>-9.0074571609111323E-2</v>
      </c>
      <c r="Q158">
        <v>1.662375154069109</v>
      </c>
      <c r="R158">
        <v>1.5452495352240343</v>
      </c>
      <c r="S158">
        <v>1.4449252299322506</v>
      </c>
      <c r="T158">
        <v>1.9536068840911922</v>
      </c>
      <c r="U158">
        <v>-4.8629425224200884E-3</v>
      </c>
      <c r="V158">
        <v>1.370016429141613</v>
      </c>
      <c r="W158">
        <v>0.14770230054066324</v>
      </c>
      <c r="X158">
        <v>1.730802169387883</v>
      </c>
      <c r="Y158">
        <v>2.6921457163892883</v>
      </c>
      <c r="Z158">
        <v>0.29790086956194783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6186-3600-4E5D-A6AE-D36A98F183FC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2025-04-08T11:44:13Z</dcterms:created>
  <dcterms:modified xsi:type="dcterms:W3CDTF">2025-04-19T17:21:11Z</dcterms:modified>
</cp:coreProperties>
</file>