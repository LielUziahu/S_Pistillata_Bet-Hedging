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to unit conve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uAzP8TLuHJDlm6NTG3kFEUW5k4Jowbis1khn5z4G9Ds="/>
    </ext>
  </extLst>
</workbook>
</file>

<file path=xl/sharedStrings.xml><?xml version="1.0" encoding="utf-8"?>
<sst xmlns="http://schemas.openxmlformats.org/spreadsheetml/2006/main" count="87" uniqueCount="78">
  <si>
    <t>Calculation of Oxygen Units (Dissolved Oxygen)</t>
  </si>
  <si>
    <t>Please enter temperature and atmospheric pressure.</t>
  </si>
  <si>
    <t>Temperature</t>
  </si>
  <si>
    <t>°C</t>
  </si>
  <si>
    <t>Atmospheric Pressure</t>
  </si>
  <si>
    <t>hPa</t>
  </si>
  <si>
    <t>Input</t>
  </si>
  <si>
    <t>[%] air saturation</t>
  </si>
  <si>
    <t>%</t>
  </si>
  <si>
    <t>For 1 % air saturation, the outputs represent the multiplication factors f.</t>
  </si>
  <si>
    <t>Output</t>
  </si>
  <si>
    <r>
      <rPr>
        <rFont val="Arial"/>
        <b/>
        <color rgb="FF003E81"/>
        <sz val="10.0"/>
      </rPr>
      <t>[%] O</t>
    </r>
    <r>
      <rPr>
        <rFont val="Arial"/>
        <b/>
        <color rgb="FF003366"/>
        <sz val="10.0"/>
        <vertAlign val="subscript"/>
      </rPr>
      <t>2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</si>
  <si>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[hPa]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</si>
  <si>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[Torr]</t>
    </r>
  </si>
  <si>
    <t>Torr</t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</si>
  <si>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[mg/L]</t>
    </r>
  </si>
  <si>
    <t>mg/L</t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</si>
  <si>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[ppm]</t>
    </r>
  </si>
  <si>
    <t>ppm</t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</si>
  <si>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[µmol/L]</t>
    </r>
  </si>
  <si>
    <t>µmol/L</t>
  </si>
  <si>
    <t>Input in % air saturation</t>
  </si>
  <si>
    <r>
      <rPr>
        <rFont val="Arial"/>
        <b/>
        <color rgb="FF003E81"/>
        <sz val="10.0"/>
      </rPr>
      <t>[%] O</t>
    </r>
    <r>
      <rPr>
        <rFont val="Arial"/>
        <b/>
        <color rgb="FF003366"/>
        <sz val="10.0"/>
        <vertAlign val="subscript"/>
      </rPr>
      <t>2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</si>
  <si>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[hPa]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</si>
  <si>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[Torr]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</si>
  <si>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[mg/L]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</si>
  <si>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[ppm]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</si>
  <si>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[µmol/L]</t>
    </r>
  </si>
  <si>
    <r>
      <rPr>
        <rFont val="Arial"/>
        <b/>
        <color theme="1"/>
        <sz val="10.0"/>
      </rPr>
      <t>Input in % O</t>
    </r>
    <r>
      <rPr>
        <rFont val="Arial"/>
        <b/>
        <color theme="1"/>
        <sz val="10.0"/>
        <vertAlign val="subscript"/>
      </rPr>
      <t>2</t>
    </r>
  </si>
  <si>
    <r>
      <rPr>
        <rFont val="Arial"/>
        <b/>
        <color rgb="FF003E81"/>
        <sz val="10.0"/>
      </rPr>
      <t>[%] O</t>
    </r>
    <r>
      <rPr>
        <rFont val="Arial"/>
        <b/>
        <color rgb="FF003366"/>
        <sz val="10.0"/>
        <vertAlign val="subscript"/>
      </rPr>
      <t>2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</si>
  <si>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[hPa]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</si>
  <si>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[Torr]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</si>
  <si>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[mg/L]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</si>
  <si>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[ppm]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</si>
  <si>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[µmol/L]</t>
    </r>
  </si>
  <si>
    <t>Input in hPa</t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</si>
  <si>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[hPa]</t>
    </r>
  </si>
  <si>
    <r>
      <rPr>
        <rFont val="Arial"/>
        <b/>
        <color rgb="FF003E81"/>
        <sz val="10.0"/>
      </rPr>
      <t>[%] O</t>
    </r>
    <r>
      <rPr>
        <rFont val="Arial"/>
        <b/>
        <color rgb="FF003366"/>
        <sz val="10.0"/>
        <vertAlign val="subscript"/>
      </rPr>
      <t>2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</si>
  <si>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[Torr]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</si>
  <si>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[mg/L]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</si>
  <si>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[ppm]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</si>
  <si>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[µmol/L]</t>
    </r>
  </si>
  <si>
    <t>Input in Torr</t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</si>
  <si>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[Torr]</t>
    </r>
  </si>
  <si>
    <r>
      <rPr>
        <rFont val="Arial"/>
        <b/>
        <color rgb="FF003E81"/>
        <sz val="10.0"/>
      </rPr>
      <t>[%] O</t>
    </r>
    <r>
      <rPr>
        <rFont val="Arial"/>
        <b/>
        <color rgb="FF003366"/>
        <sz val="10.0"/>
        <vertAlign val="subscript"/>
      </rPr>
      <t>2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</si>
  <si>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[hPa]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</si>
  <si>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[mg/L]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</si>
  <si>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[ppm]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</si>
  <si>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[µmol/L]</t>
    </r>
  </si>
  <si>
    <t>Input in mg/L</t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</si>
  <si>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[mg/L]</t>
    </r>
  </si>
  <si>
    <r>
      <rPr>
        <rFont val="Arial"/>
        <b/>
        <color rgb="FF003E81"/>
        <sz val="10.0"/>
      </rPr>
      <t>[%] O</t>
    </r>
    <r>
      <rPr>
        <rFont val="Arial"/>
        <b/>
        <color rgb="FF003366"/>
        <sz val="10.0"/>
        <vertAlign val="subscript"/>
      </rPr>
      <t>2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</si>
  <si>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[hPa]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</si>
  <si>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[Torr]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</si>
  <si>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[ppm]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</si>
  <si>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[µmol/L]</t>
    </r>
  </si>
  <si>
    <t>Input in ppm</t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</si>
  <si>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[ppm]</t>
    </r>
  </si>
  <si>
    <r>
      <rPr>
        <rFont val="Arial"/>
        <b/>
        <color rgb="FF003E81"/>
        <sz val="10.0"/>
      </rPr>
      <t>[%] O</t>
    </r>
    <r>
      <rPr>
        <rFont val="Arial"/>
        <b/>
        <color rgb="FF003366"/>
        <sz val="10.0"/>
        <vertAlign val="subscript"/>
      </rPr>
      <t>2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</si>
  <si>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[hPa]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</si>
  <si>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[Torr]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</si>
  <si>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[mg/L]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</si>
  <si>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[µmol/L]</t>
    </r>
  </si>
  <si>
    <t>Input in µmol/L</t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</si>
  <si>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[µmol/L]</t>
    </r>
  </si>
  <si>
    <r>
      <rPr>
        <rFont val="Arial"/>
        <b/>
        <color rgb="FF003E81"/>
        <sz val="10.0"/>
      </rPr>
      <t>[%] O</t>
    </r>
    <r>
      <rPr>
        <rFont val="Arial"/>
        <b/>
        <color rgb="FF003366"/>
        <sz val="10.0"/>
        <vertAlign val="subscript"/>
      </rPr>
      <t>2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</si>
  <si>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[hPa]</t>
    </r>
  </si>
  <si>
    <r>
      <rPr>
        <rFont val="Arial"/>
        <b/>
        <color rgb="FF003E81"/>
        <sz val="10.0"/>
      </rPr>
      <t>pO</t>
    </r>
    <r>
      <rPr>
        <rFont val="Arial"/>
        <b/>
        <color rgb="FF003366"/>
        <sz val="10.0"/>
        <vertAlign val="subscript"/>
      </rPr>
      <t xml:space="preserve">2 </t>
    </r>
    <r>
      <rPr>
        <rFont val="Arial"/>
        <b/>
        <color rgb="FF003366"/>
        <sz val="10.0"/>
      </rPr>
      <t>[Torr]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</si>
  <si>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[mg/L]</t>
    </r>
  </si>
  <si>
    <r>
      <rPr>
        <rFont val="Arial"/>
        <b/>
        <color rgb="FF003E81"/>
        <sz val="10.0"/>
      </rPr>
      <t>cO</t>
    </r>
    <r>
      <rPr>
        <rFont val="Arial"/>
        <b/>
        <color rgb="FF003366"/>
        <sz val="10.0"/>
        <vertAlign val="subscript"/>
      </rPr>
      <t>2</t>
    </r>
    <r>
      <rPr>
        <rFont val="Arial"/>
        <b/>
        <color rgb="FF003366"/>
        <sz val="10.0"/>
      </rPr>
      <t xml:space="preserve"> [ppm]</t>
    </r>
  </si>
  <si>
    <t>Compatibility Report for PreSense Oxygen_Unit_Calculation_dv1_1.xls</t>
  </si>
  <si>
    <t>Run on 19/04/2025 19:13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</si>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</sst>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003E8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3E81"/>
      <name val="Arial"/>
    </font>
    <font/>
    <font>
      <b/>
      <sz val="10.0"/>
      <color theme="0"/>
      <name val="Arial"/>
    </font>
    <font>
      <b/>
      <sz val="10.0"/>
      <color rgb="FFFFFFFF"/>
      <name val="Arial"/>
    </font>
    <font>
      <sz val="10.0"/>
      <color theme="0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0F2FB"/>
        <bgColor rgb="FFE0F2FB"/>
      </patternFill>
    </fill>
    <fill>
      <patternFill patternType="solid">
        <fgColor rgb="FF003E81"/>
        <bgColor rgb="FF003E81"/>
      </patternFill>
    </fill>
  </fills>
  <borders count="20">
    <border/>
    <border>
      <left style="medium">
        <color rgb="FF003E81"/>
      </left>
      <top style="medium">
        <color rgb="FF003E81"/>
      </top>
      <bottom style="medium">
        <color rgb="FF003E81"/>
      </bottom>
    </border>
    <border>
      <right style="medium">
        <color rgb="FF003E81"/>
      </right>
      <top style="medium">
        <color rgb="FF003E81"/>
      </top>
      <bottom style="medium">
        <color rgb="FF003E81"/>
      </bottom>
    </border>
    <border>
      <left style="medium">
        <color rgb="FF003E81"/>
      </left>
      <right style="medium">
        <color rgb="FF003E81"/>
      </right>
      <top style="medium">
        <color rgb="FF003E81"/>
      </top>
      <bottom style="medium">
        <color rgb="FF003E81"/>
      </bottom>
    </border>
    <border>
      <left style="medium">
        <color rgb="FF003E81"/>
      </left>
      <right style="medium">
        <color rgb="FF003E81"/>
      </right>
      <top style="medium">
        <color rgb="FF003E81"/>
      </top>
      <bottom/>
    </border>
    <border>
      <left style="medium">
        <color rgb="FF003E81"/>
      </left>
      <right/>
      <top style="medium">
        <color rgb="FF003E81"/>
      </top>
      <bottom style="medium">
        <color rgb="FF003E81"/>
      </bottom>
    </border>
    <border>
      <left/>
      <right/>
      <top style="medium">
        <color rgb="FF003E81"/>
      </top>
      <bottom style="medium">
        <color rgb="FF003E81"/>
      </bottom>
    </border>
    <border>
      <left/>
      <right style="medium">
        <color rgb="FF003E81"/>
      </right>
      <top style="medium">
        <color rgb="FF003E81"/>
      </top>
      <bottom style="medium">
        <color rgb="FF003E81"/>
      </bottom>
    </border>
    <border>
      <left style="medium">
        <color rgb="FF003E81"/>
      </left>
      <right/>
      <top style="medium">
        <color rgb="FF003E81"/>
      </top>
      <bottom/>
    </border>
    <border>
      <left/>
      <right/>
      <top style="medium">
        <color rgb="FF003E81"/>
      </top>
      <bottom/>
    </border>
    <border>
      <left/>
      <right style="medium">
        <color rgb="FF003E81"/>
      </right>
      <top style="medium">
        <color rgb="FF003E81"/>
      </top>
      <bottom/>
    </border>
    <border>
      <left style="medium">
        <color rgb="FF003E81"/>
      </left>
      <right/>
      <top/>
      <bottom/>
    </border>
    <border>
      <left/>
      <right/>
      <top/>
      <bottom/>
    </border>
    <border>
      <left/>
      <right style="medium">
        <color rgb="FF003E81"/>
      </right>
      <top/>
      <bottom/>
    </border>
    <border>
      <left style="medium">
        <color rgb="FF003E81"/>
      </left>
      <right/>
      <top/>
      <bottom style="medium">
        <color rgb="FF003E81"/>
      </bottom>
    </border>
    <border>
      <left/>
      <right/>
      <top/>
      <bottom style="medium">
        <color rgb="FF003E81"/>
      </bottom>
    </border>
    <border>
      <left/>
      <right style="medium">
        <color rgb="FF003E81"/>
      </right>
      <top/>
      <bottom style="medium">
        <color rgb="FF003E81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/>
    </xf>
    <xf borderId="2" fillId="0" fontId="6" numFmtId="0" xfId="0" applyBorder="1" applyFont="1"/>
    <xf borderId="3" fillId="3" fontId="7" numFmtId="0" xfId="0" applyAlignment="1" applyBorder="1" applyFill="1" applyFont="1">
      <alignment horizontal="center"/>
    </xf>
    <xf borderId="4" fillId="2" fontId="5" numFmtId="0" xfId="0" applyAlignment="1" applyBorder="1" applyFont="1">
      <alignment horizontal="center"/>
    </xf>
    <xf borderId="3" fillId="2" fontId="5" numFmtId="0" xfId="0" applyAlignment="1" applyBorder="1" applyFont="1">
      <alignment horizontal="center"/>
    </xf>
    <xf borderId="5" fillId="2" fontId="5" numFmtId="0" xfId="0" applyAlignment="1" applyBorder="1" applyFont="1">
      <alignment horizontal="center"/>
    </xf>
    <xf borderId="6" fillId="3" fontId="7" numFmtId="2" xfId="0" applyAlignment="1" applyBorder="1" applyFont="1" applyNumberFormat="1">
      <alignment horizontal="center"/>
    </xf>
    <xf borderId="7" fillId="2" fontId="5" numFmtId="0" xfId="0" applyAlignment="1" applyBorder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8" fillId="2" fontId="5" numFmtId="0" xfId="0" applyAlignment="1" applyBorder="1" applyFont="1">
      <alignment horizontal="center"/>
    </xf>
    <xf borderId="9" fillId="2" fontId="5" numFmtId="164" xfId="0" applyAlignment="1" applyBorder="1" applyFont="1" applyNumberFormat="1">
      <alignment horizontal="center"/>
    </xf>
    <xf borderId="10" fillId="2" fontId="5" numFmtId="0" xfId="0" applyAlignment="1" applyBorder="1" applyFont="1">
      <alignment horizontal="center"/>
    </xf>
    <xf borderId="11" fillId="2" fontId="5" numFmtId="0" xfId="0" applyAlignment="1" applyBorder="1" applyFont="1">
      <alignment horizontal="center"/>
    </xf>
    <xf borderId="12" fillId="2" fontId="5" numFmtId="2" xfId="0" applyAlignment="1" applyBorder="1" applyFont="1" applyNumberFormat="1">
      <alignment horizontal="center"/>
    </xf>
    <xf borderId="13" fillId="2" fontId="5" numFmtId="0" xfId="0" applyAlignment="1" applyBorder="1" applyFont="1">
      <alignment horizontal="center"/>
    </xf>
    <xf borderId="12" fillId="2" fontId="5" numFmtId="164" xfId="0" applyAlignment="1" applyBorder="1" applyFont="1" applyNumberFormat="1">
      <alignment horizontal="center"/>
    </xf>
    <xf borderId="14" fillId="2" fontId="5" numFmtId="0" xfId="0" applyAlignment="1" applyBorder="1" applyFont="1">
      <alignment horizontal="center"/>
    </xf>
    <xf borderId="15" fillId="2" fontId="5" numFmtId="2" xfId="0" applyAlignment="1" applyBorder="1" applyFont="1" applyNumberFormat="1">
      <alignment horizontal="center"/>
    </xf>
    <xf borderId="16" fillId="2" fontId="5" numFmtId="0" xfId="0" applyAlignment="1" applyBorder="1" applyFont="1">
      <alignment horizontal="center"/>
    </xf>
    <xf borderId="0" fillId="0" fontId="3" numFmtId="0" xfId="0" applyAlignment="1" applyFont="1">
      <alignment vertical="center"/>
    </xf>
    <xf borderId="12" fillId="2" fontId="5" numFmtId="0" xfId="0" applyAlignment="1" applyBorder="1" applyFont="1">
      <alignment horizontal="center"/>
    </xf>
    <xf borderId="0" fillId="0" fontId="1" numFmtId="2" xfId="0" applyFont="1" applyNumberFormat="1"/>
    <xf borderId="0" fillId="0" fontId="3" numFmtId="2" xfId="0" applyFont="1" applyNumberFormat="1"/>
    <xf borderId="12" fillId="3" fontId="8" numFmtId="2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/>
    </xf>
    <xf borderId="12" fillId="3" fontId="7" numFmtId="164" xfId="0" applyAlignment="1" applyBorder="1" applyFont="1" applyNumberFormat="1">
      <alignment horizontal="center"/>
    </xf>
    <xf borderId="12" fillId="3" fontId="7" numFmtId="2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shrinkToFit="0" vertical="top" wrapText="1"/>
    </xf>
    <xf borderId="0" fillId="0" fontId="10" numFmtId="0" xfId="0" applyAlignment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17" fillId="0" fontId="1" numFmtId="0" xfId="0" applyAlignment="1" applyBorder="1" applyFont="1">
      <alignment shrinkToFit="0" vertical="top" wrapText="1"/>
    </xf>
    <xf borderId="18" fillId="0" fontId="1" numFmtId="0" xfId="0" applyAlignment="1" applyBorder="1" applyFont="1">
      <alignment shrinkToFit="0" vertical="top" wrapText="1"/>
    </xf>
    <xf borderId="18" fillId="0" fontId="1" numFmtId="0" xfId="0" applyAlignment="1" applyBorder="1" applyFont="1">
      <alignment horizontal="center" shrinkToFit="0" vertical="top" wrapText="1"/>
    </xf>
    <xf borderId="19" fillId="0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228600</xdr:colOff>
      <xdr:row>0</xdr:row>
      <xdr:rowOff>57150</xdr:rowOff>
    </xdr:from>
    <xdr:ext cx="1219200" cy="438150"/>
    <xdr:pic>
      <xdr:nvPicPr>
        <xdr:cNvPr descr="PreSens Logo_d RGB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4" width="20.0"/>
    <col customWidth="1" min="5" max="16" width="11.43"/>
    <col customWidth="1" min="17" max="26" width="8.71"/>
  </cols>
  <sheetData>
    <row r="1" ht="48.75" customHeight="1">
      <c r="A1" s="1"/>
      <c r="J1" s="1"/>
      <c r="K1" s="1"/>
      <c r="L1" s="1"/>
      <c r="M1" s="1"/>
      <c r="N1" s="1"/>
      <c r="O1" s="1"/>
      <c r="P1" s="1"/>
    </row>
    <row r="2" ht="27.75" customHeight="1">
      <c r="A2" s="2" t="s">
        <v>0</v>
      </c>
      <c r="J2" s="2"/>
      <c r="K2" s="2"/>
      <c r="L2" s="2"/>
      <c r="M2" s="2"/>
      <c r="N2" s="2"/>
      <c r="O2" s="2"/>
      <c r="P2" s="2"/>
    </row>
    <row r="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B4" s="4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B5" s="5" t="s">
        <v>2</v>
      </c>
      <c r="C5" s="6"/>
      <c r="D5" s="7">
        <v>23.0</v>
      </c>
      <c r="E5" s="8" t="s">
        <v>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B6" s="5" t="s">
        <v>4</v>
      </c>
      <c r="C6" s="6"/>
      <c r="D6" s="7">
        <v>965.0</v>
      </c>
      <c r="E6" s="9" t="s">
        <v>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>
      <c r="B8" s="4" t="s">
        <v>6</v>
      </c>
      <c r="C8" s="10" t="s">
        <v>7</v>
      </c>
      <c r="D8" s="11">
        <v>1.0</v>
      </c>
      <c r="E8" s="12" t="s">
        <v>8</v>
      </c>
      <c r="F8" s="3"/>
      <c r="G8" s="13" t="s">
        <v>9</v>
      </c>
      <c r="J8" s="3"/>
      <c r="K8" s="3"/>
      <c r="L8" s="3"/>
      <c r="M8" s="3"/>
      <c r="N8" s="3"/>
      <c r="O8" s="3"/>
      <c r="P8" s="3"/>
    </row>
    <row r="9">
      <c r="B9" s="4" t="s">
        <v>10</v>
      </c>
      <c r="C9" s="14" t="s">
        <v>11</v>
      </c>
      <c r="D9" s="15">
        <f>D8*20.95/100</f>
        <v>0.2095</v>
      </c>
      <c r="E9" s="16" t="s">
        <v>8</v>
      </c>
      <c r="F9" s="3"/>
      <c r="J9" s="3"/>
      <c r="K9" s="3"/>
      <c r="L9" s="3"/>
      <c r="M9" s="3"/>
      <c r="N9" s="3"/>
      <c r="O9" s="3"/>
      <c r="P9" s="3"/>
    </row>
    <row r="10" ht="15.0" customHeight="1">
      <c r="B10" s="3"/>
      <c r="C10" s="17" t="s">
        <v>12</v>
      </c>
      <c r="D10" s="18">
        <f>($D$6-EXP(52.57-6690.9/(273.15+$D$5)-4.681*LN(273.15+$D$5)))*D8/100*0.2095</f>
        <v>1.962667376</v>
      </c>
      <c r="E10" s="19" t="s">
        <v>5</v>
      </c>
      <c r="F10" s="3"/>
      <c r="J10" s="3"/>
      <c r="K10" s="3"/>
      <c r="L10" s="3"/>
      <c r="M10" s="3"/>
      <c r="N10" s="3"/>
      <c r="O10" s="3"/>
      <c r="P10" s="3"/>
    </row>
    <row r="11">
      <c r="B11" s="3"/>
      <c r="C11" s="17" t="s">
        <v>13</v>
      </c>
      <c r="D11" s="18">
        <f>D10/1.33322</f>
        <v>1.472125663</v>
      </c>
      <c r="E11" s="19" t="s">
        <v>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>
      <c r="B12" s="3"/>
      <c r="C12" s="17" t="s">
        <v>15</v>
      </c>
      <c r="D12" s="20">
        <f>(($D$6-EXP(52.57-6690.9/(273.15+$D$5)-4.681*LN(273.15+$D$5)))/1013)*D8/100*0.2095*(48.998-1.335*$D$5+0.02755*POWER($D$5,2)-0.000322*POWER($D$5,3)+0.000001598*POWER($D$5,4))*32/22.414</f>
        <v>0.08131327526</v>
      </c>
      <c r="E12" s="19" t="s">
        <v>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B13" s="3"/>
      <c r="C13" s="17" t="s">
        <v>17</v>
      </c>
      <c r="D13" s="20">
        <f>D12</f>
        <v>0.08131327526</v>
      </c>
      <c r="E13" s="19" t="s">
        <v>18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B14" s="3"/>
      <c r="C14" s="21" t="s">
        <v>19</v>
      </c>
      <c r="D14" s="22">
        <f>D12*31.25</f>
        <v>2.541039852</v>
      </c>
      <c r="E14" s="23" t="s">
        <v>20</v>
      </c>
      <c r="F14" s="3"/>
      <c r="G14" s="3"/>
      <c r="H14" s="3"/>
      <c r="I14" s="24"/>
      <c r="J14" s="3"/>
      <c r="K14" s="3"/>
      <c r="L14" s="3"/>
      <c r="M14" s="3"/>
      <c r="N14" s="3"/>
      <c r="O14" s="3"/>
      <c r="P14" s="3"/>
    </row>
    <row r="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>
      <c r="A17" s="4" t="s">
        <v>21</v>
      </c>
      <c r="B17" s="3"/>
      <c r="C17" s="25" t="s">
        <v>7</v>
      </c>
      <c r="D17" s="25" t="s">
        <v>22</v>
      </c>
      <c r="E17" s="25" t="s">
        <v>23</v>
      </c>
      <c r="F17" s="25" t="s">
        <v>24</v>
      </c>
      <c r="G17" s="25" t="s">
        <v>25</v>
      </c>
      <c r="H17" s="25" t="s">
        <v>26</v>
      </c>
      <c r="I17" s="25" t="s">
        <v>27</v>
      </c>
      <c r="J17" s="3"/>
      <c r="K17" s="3"/>
      <c r="L17" s="3"/>
      <c r="M17" s="3"/>
      <c r="N17" s="3"/>
      <c r="O17" s="3"/>
      <c r="P17" s="3"/>
    </row>
    <row r="18">
      <c r="A18" s="26"/>
      <c r="B18" s="27"/>
      <c r="C18" s="28">
        <v>100.0</v>
      </c>
      <c r="D18" s="20">
        <f>C18*20.95/100</f>
        <v>20.95</v>
      </c>
      <c r="E18" s="18">
        <f> ($D$6-EXP(52.57-6690.9/(273.15+$D$5)-4.681*LN(273.15+$D$5)))*C18/100*0.2095</f>
        <v>196.2667376</v>
      </c>
      <c r="F18" s="18">
        <f> E18/1.33322</f>
        <v>147.2125663</v>
      </c>
      <c r="G18" s="20">
        <f> (($D$6-EXP(52.57-6690.9/(273.15+$D$5)-4.681*LN(273.15+$D$5)))/1013)*$C$18/100*0.2095*(48.998-1.335*$D$5+0.02755*POWER($D$5,2)-0.000322*POWER($D$5,3)+0.000001598*POWER($D$5,4))*32/22.414</f>
        <v>8.131327526</v>
      </c>
      <c r="H18" s="20">
        <f>G18</f>
        <v>8.131327526</v>
      </c>
      <c r="I18" s="18">
        <f>G18*31.25</f>
        <v>254.1039852</v>
      </c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B19" s="3"/>
      <c r="C19" s="29"/>
      <c r="D19" s="29"/>
      <c r="E19" s="29"/>
      <c r="F19" s="29"/>
      <c r="G19" s="29"/>
      <c r="H19" s="29"/>
      <c r="I19" s="29"/>
      <c r="J19" s="3"/>
      <c r="K19" s="3"/>
      <c r="L19" s="3"/>
      <c r="M19" s="3"/>
      <c r="N19" s="3"/>
      <c r="O19" s="3"/>
      <c r="P19" s="3"/>
    </row>
    <row r="20">
      <c r="A20" s="4" t="s">
        <v>28</v>
      </c>
      <c r="B20" s="3"/>
      <c r="C20" s="25" t="s">
        <v>29</v>
      </c>
      <c r="D20" s="25" t="s">
        <v>7</v>
      </c>
      <c r="E20" s="25" t="s">
        <v>30</v>
      </c>
      <c r="F20" s="25" t="s">
        <v>31</v>
      </c>
      <c r="G20" s="25" t="s">
        <v>32</v>
      </c>
      <c r="H20" s="25" t="s">
        <v>33</v>
      </c>
      <c r="I20" s="25" t="s">
        <v>34</v>
      </c>
      <c r="J20" s="3"/>
      <c r="K20" s="3"/>
      <c r="L20" s="3"/>
      <c r="M20" s="3"/>
      <c r="N20" s="3"/>
      <c r="O20" s="3"/>
      <c r="P20" s="3"/>
    </row>
    <row r="21" ht="15.75" customHeight="1">
      <c r="B21" s="3"/>
      <c r="C21" s="30">
        <v>20.95</v>
      </c>
      <c r="D21" s="18">
        <f>C21/20.95*100</f>
        <v>100</v>
      </c>
      <c r="E21" s="18">
        <f> ($D$6-EXP(52.57-6690.9/(273.15+$D$5)-4.681*LN(273.15+$D$5)))*D21/100*0.2095</f>
        <v>196.2667376</v>
      </c>
      <c r="F21" s="18">
        <f> E21/1.33322</f>
        <v>147.2125663</v>
      </c>
      <c r="G21" s="20">
        <f> (($D$6-EXP(52.57-6690.9/(273.15+$D$5)-4.681*LN(273.15+$D$5)))/1013)*$D$21/100*0.2095*(48.998-1.335*$D$5+0.02755*POWER($D$5,2)-0.000322*POWER($D$5,3)+0.000001598*POWER($D$5,4))*32/22.414</f>
        <v>8.131327526</v>
      </c>
      <c r="H21" s="20">
        <f>G21</f>
        <v>8.131327526</v>
      </c>
      <c r="I21" s="18">
        <f>G21*31.25</f>
        <v>254.1039852</v>
      </c>
      <c r="J21" s="3"/>
      <c r="K21" s="3"/>
      <c r="L21" s="3"/>
      <c r="M21" s="3"/>
      <c r="N21" s="3"/>
      <c r="O21" s="3"/>
      <c r="P21" s="3"/>
    </row>
    <row r="22" ht="15.75" customHeight="1">
      <c r="B22" s="3"/>
      <c r="C22" s="29"/>
      <c r="D22" s="29"/>
      <c r="E22" s="29"/>
      <c r="F22" s="29"/>
      <c r="G22" s="29"/>
      <c r="H22" s="29"/>
      <c r="I22" s="29"/>
      <c r="J22" s="3"/>
      <c r="K22" s="3"/>
      <c r="L22" s="3"/>
      <c r="M22" s="3"/>
      <c r="N22" s="3"/>
      <c r="O22" s="3"/>
      <c r="P22" s="3"/>
    </row>
    <row r="23" ht="15.75" customHeight="1">
      <c r="A23" s="4" t="s">
        <v>35</v>
      </c>
      <c r="B23" s="3"/>
      <c r="C23" s="25" t="s">
        <v>36</v>
      </c>
      <c r="D23" s="25" t="s">
        <v>7</v>
      </c>
      <c r="E23" s="25" t="s">
        <v>37</v>
      </c>
      <c r="F23" s="25" t="s">
        <v>38</v>
      </c>
      <c r="G23" s="25" t="s">
        <v>39</v>
      </c>
      <c r="H23" s="25" t="s">
        <v>40</v>
      </c>
      <c r="I23" s="25" t="s">
        <v>41</v>
      </c>
      <c r="J23" s="3"/>
      <c r="K23" s="3"/>
      <c r="L23" s="3"/>
      <c r="M23" s="3"/>
      <c r="N23" s="3"/>
      <c r="O23" s="3"/>
      <c r="P23" s="3"/>
    </row>
    <row r="24" ht="15.75" customHeight="1">
      <c r="B24" s="3"/>
      <c r="C24" s="31">
        <v>207.31</v>
      </c>
      <c r="D24" s="18">
        <f>C24/($D$6-EXP(52.57-6690.9/(273.15+$D$5)-4.681*LN(273.15+$D$5)))*100/0.2095</f>
        <v>105.6266602</v>
      </c>
      <c r="E24" s="20">
        <f>D24*20.95/100</f>
        <v>22.12878531</v>
      </c>
      <c r="F24" s="18">
        <f> C24/1.33322</f>
        <v>155.4957171</v>
      </c>
      <c r="G24" s="20">
        <f> (($D$6-EXP(52.57-6690.9/(273.15+$D$5)-4.681*LN(273.15+$D$5)))/1013)*$D$24/100*0.2095*(48.998-1.335*$D$5+0.02755*POWER($D$5,2)-0.000322*POWER($D$5,3)+0.000001598*POWER($D$5,4))*32/22.414</f>
        <v>8.588849695</v>
      </c>
      <c r="H24" s="20">
        <f>G24</f>
        <v>8.588849695</v>
      </c>
      <c r="I24" s="18">
        <f>G24*31.25</f>
        <v>268.401553</v>
      </c>
      <c r="J24" s="3"/>
      <c r="K24" s="3"/>
      <c r="L24" s="3"/>
      <c r="M24" s="3"/>
      <c r="N24" s="3"/>
      <c r="O24" s="3"/>
      <c r="P24" s="3"/>
    </row>
    <row r="25" ht="15.75" customHeight="1">
      <c r="B25" s="3"/>
      <c r="C25" s="29"/>
      <c r="D25" s="29"/>
      <c r="E25" s="29"/>
      <c r="F25" s="29"/>
      <c r="G25" s="29"/>
      <c r="H25" s="29"/>
      <c r="I25" s="29"/>
      <c r="J25" s="3"/>
      <c r="K25" s="3"/>
      <c r="L25" s="3"/>
      <c r="M25" s="3"/>
      <c r="N25" s="3"/>
      <c r="O25" s="3"/>
      <c r="P25" s="3"/>
    </row>
    <row r="26" ht="15.75" customHeight="1">
      <c r="A26" s="4" t="s">
        <v>42</v>
      </c>
      <c r="B26" s="3"/>
      <c r="C26" s="25" t="s">
        <v>43</v>
      </c>
      <c r="D26" s="25" t="s">
        <v>7</v>
      </c>
      <c r="E26" s="25" t="s">
        <v>44</v>
      </c>
      <c r="F26" s="25" t="s">
        <v>45</v>
      </c>
      <c r="G26" s="25" t="s">
        <v>46</v>
      </c>
      <c r="H26" s="25" t="s">
        <v>47</v>
      </c>
      <c r="I26" s="25" t="s">
        <v>48</v>
      </c>
      <c r="J26" s="3"/>
      <c r="K26" s="3"/>
      <c r="L26" s="3"/>
      <c r="M26" s="3"/>
      <c r="N26" s="3"/>
      <c r="O26" s="3"/>
      <c r="P26" s="3"/>
    </row>
    <row r="27" ht="15.75" customHeight="1">
      <c r="B27" s="3"/>
      <c r="C27" s="31">
        <v>155.5</v>
      </c>
      <c r="D27" s="18">
        <f>C27*1.33322/($D$6-EXP(52.57-6690.9/(273.15+$D$5)-4.681*LN(273.15+$D$5)))*100/0.2095</f>
        <v>105.6295695</v>
      </c>
      <c r="E27" s="20">
        <f>D27*20.95/100</f>
        <v>22.12939481</v>
      </c>
      <c r="F27" s="18">
        <f>($D$6-EXP(52.57-6690.9/(273.15+$D$5)-4.681*LN(273.15+$D$5)))*D27/100*0.2095</f>
        <v>207.31571</v>
      </c>
      <c r="G27" s="20">
        <f> (($D$6-EXP(52.57-6690.9/(273.15+$D$5)-4.681*LN(273.15+$D$5)))/1013)*$D$27/100*0.2095*(48.998-1.335*$D$5+0.02755*POWER($D$5,2)-0.000322*POWER($D$5,3)+0.000001598*POWER($D$5,4))*32/22.414</f>
        <v>8.58908626</v>
      </c>
      <c r="H27" s="20">
        <f>G27</f>
        <v>8.58908626</v>
      </c>
      <c r="I27" s="18">
        <f>G27*31.25</f>
        <v>268.4089456</v>
      </c>
      <c r="J27" s="3"/>
      <c r="K27" s="3"/>
      <c r="L27" s="3"/>
      <c r="M27" s="3"/>
      <c r="N27" s="3"/>
      <c r="O27" s="3"/>
      <c r="P27" s="3"/>
    </row>
    <row r="28" ht="15.75" customHeight="1">
      <c r="B28" s="3"/>
      <c r="C28" s="32"/>
      <c r="D28" s="29"/>
      <c r="E28" s="29"/>
      <c r="F28" s="29"/>
      <c r="G28" s="29"/>
      <c r="H28" s="29"/>
      <c r="I28" s="29"/>
      <c r="J28" s="3"/>
      <c r="K28" s="3"/>
      <c r="L28" s="3"/>
      <c r="M28" s="3"/>
      <c r="N28" s="3"/>
      <c r="O28" s="3"/>
      <c r="P28" s="3"/>
    </row>
    <row r="29" ht="15.75" customHeight="1">
      <c r="A29" s="4" t="s">
        <v>49</v>
      </c>
      <c r="B29" s="3"/>
      <c r="C29" s="25" t="s">
        <v>50</v>
      </c>
      <c r="D29" s="25" t="s">
        <v>7</v>
      </c>
      <c r="E29" s="25" t="s">
        <v>51</v>
      </c>
      <c r="F29" s="25" t="s">
        <v>52</v>
      </c>
      <c r="G29" s="25" t="s">
        <v>53</v>
      </c>
      <c r="H29" s="25" t="s">
        <v>54</v>
      </c>
      <c r="I29" s="25" t="s">
        <v>55</v>
      </c>
      <c r="J29" s="3"/>
      <c r="K29" s="3"/>
      <c r="L29" s="3"/>
      <c r="M29" s="3"/>
      <c r="N29" s="3"/>
      <c r="O29" s="3"/>
      <c r="P29" s="3"/>
    </row>
    <row r="30" ht="15.75" customHeight="1">
      <c r="B30" s="3"/>
      <c r="C30" s="30">
        <v>6.7336</v>
      </c>
      <c r="D30" s="18">
        <f>C30/(($D$6-EXP(52.57-6690.9/(273.15+$D$5)-4.681*LN(273.15+$D$5)))/1013)*100/0.2095/(48.998-1.335*$D$5+0.02755*POWER($D$5,2)-0.000322*POWER($D$5,3)+0.000001598*POWER($D$5,4))/32*22.414</f>
        <v>82.81058632</v>
      </c>
      <c r="E30" s="20">
        <f>D30*20.95/100</f>
        <v>17.34881784</v>
      </c>
      <c r="F30" s="18">
        <f>($D$6-EXP(52.57-6690.9/(273.15+$D$5)-4.681*LN(273.15+$D$5)))*D30/100*0.2095</f>
        <v>162.5296362</v>
      </c>
      <c r="G30" s="18">
        <f>F30/1.33322</f>
        <v>121.9075893</v>
      </c>
      <c r="H30" s="20">
        <f>(($D$6-EXP(52.57-6690.9/(273.15+$D$5)-4.681*LN(273.15+$D$5)))/1013)*D30/100*0.2095*(48.998-1.335*$D$5+0.02755*POWER($D$5,2)-0.000322*POWER($D$5,3)+0.000001598*POWER($D$5,4))*32/22.414</f>
        <v>6.7336</v>
      </c>
      <c r="I30" s="18">
        <f>H30*31.25</f>
        <v>210.425</v>
      </c>
      <c r="J30" s="3"/>
      <c r="K30" s="3"/>
      <c r="L30" s="3"/>
      <c r="M30" s="3"/>
      <c r="N30" s="3"/>
      <c r="O30" s="3"/>
      <c r="P30" s="3"/>
    </row>
    <row r="31" ht="15.75" customHeight="1">
      <c r="B31" s="3"/>
      <c r="C31" s="29"/>
      <c r="D31" s="29"/>
      <c r="E31" s="29"/>
      <c r="F31" s="29"/>
      <c r="G31" s="29"/>
      <c r="H31" s="29"/>
      <c r="I31" s="29"/>
      <c r="J31" s="3"/>
      <c r="K31" s="3"/>
      <c r="L31" s="3"/>
      <c r="M31" s="3"/>
      <c r="N31" s="3"/>
      <c r="O31" s="3"/>
      <c r="P31" s="3"/>
    </row>
    <row r="32" ht="15.75" customHeight="1">
      <c r="A32" s="4" t="s">
        <v>56</v>
      </c>
      <c r="B32" s="3"/>
      <c r="C32" s="25" t="s">
        <v>57</v>
      </c>
      <c r="D32" s="25" t="s">
        <v>7</v>
      </c>
      <c r="E32" s="25" t="s">
        <v>58</v>
      </c>
      <c r="F32" s="25" t="s">
        <v>59</v>
      </c>
      <c r="G32" s="25" t="s">
        <v>60</v>
      </c>
      <c r="H32" s="25" t="s">
        <v>61</v>
      </c>
      <c r="I32" s="25" t="s">
        <v>62</v>
      </c>
      <c r="J32" s="3"/>
      <c r="K32" s="3"/>
      <c r="L32" s="3"/>
      <c r="M32" s="3"/>
      <c r="N32" s="3"/>
      <c r="O32" s="3"/>
      <c r="P32" s="3"/>
    </row>
    <row r="33" ht="15.75" customHeight="1">
      <c r="B33" s="3"/>
      <c r="C33" s="30">
        <v>6.7336</v>
      </c>
      <c r="D33" s="18">
        <f>C33/(($D$6-EXP(52.57-6690.9/(273.15+$D$5)-4.681*LN(273.15+$D$5)))/1013)*100/0.2095/(48.998-1.335*$D$5+0.02755*POWER($D$5,2)-0.000322*POWER($D$5,3)+0.000001598*POWER($D$5,4))/32*22.414</f>
        <v>82.81058632</v>
      </c>
      <c r="E33" s="20">
        <f>D33*20.95/100</f>
        <v>17.34881784</v>
      </c>
      <c r="F33" s="18">
        <f>($D$6-EXP(52.57-6690.9/(273.15+$D$5)-4.681*LN(273.15+$D$5)))*D33/100*0.2095</f>
        <v>162.5296362</v>
      </c>
      <c r="G33" s="18">
        <f>F33/1.33322</f>
        <v>121.9075893</v>
      </c>
      <c r="H33" s="20">
        <f> (($D$6-EXP(52.57-6690.9/(273.15+$D$5)-4.681*LN(273.15+$D$5)))/1013)*$D$33/100*0.2095*(48.998-1.335*$D$5+0.02755*POWER($D$5,2)-0.000322*POWER($D$5,3)+0.000001598*POWER($D$5,4))*32/22.414</f>
        <v>6.7336</v>
      </c>
      <c r="I33" s="18">
        <f>H33*31.25</f>
        <v>210.425</v>
      </c>
      <c r="J33" s="3"/>
      <c r="K33" s="3"/>
      <c r="L33" s="3"/>
      <c r="M33" s="3"/>
      <c r="N33" s="3"/>
      <c r="O33" s="3"/>
      <c r="P33" s="3"/>
    </row>
    <row r="34" ht="15.75" customHeight="1">
      <c r="B34" s="3"/>
      <c r="C34" s="29"/>
      <c r="D34" s="29"/>
      <c r="E34" s="29"/>
      <c r="F34" s="29"/>
      <c r="G34" s="29"/>
      <c r="H34" s="29"/>
      <c r="I34" s="29"/>
      <c r="J34" s="3"/>
      <c r="K34" s="3"/>
      <c r="L34" s="3"/>
      <c r="M34" s="3"/>
      <c r="N34" s="3"/>
      <c r="O34" s="3"/>
      <c r="P34" s="3"/>
    </row>
    <row r="35" ht="15.75" customHeight="1">
      <c r="A35" s="4" t="s">
        <v>63</v>
      </c>
      <c r="B35" s="3"/>
      <c r="C35" s="25" t="s">
        <v>64</v>
      </c>
      <c r="D35" s="25" t="s">
        <v>7</v>
      </c>
      <c r="E35" s="25" t="s">
        <v>65</v>
      </c>
      <c r="F35" s="25" t="s">
        <v>66</v>
      </c>
      <c r="G35" s="25" t="s">
        <v>67</v>
      </c>
      <c r="H35" s="25" t="s">
        <v>68</v>
      </c>
      <c r="I35" s="25" t="s">
        <v>69</v>
      </c>
      <c r="J35" s="3"/>
      <c r="K35" s="3"/>
      <c r="L35" s="3"/>
      <c r="M35" s="3"/>
      <c r="N35" s="3"/>
      <c r="O35" s="3"/>
      <c r="P35" s="3"/>
    </row>
    <row r="36" ht="15.75" customHeight="1">
      <c r="B36" s="3"/>
      <c r="C36" s="31">
        <v>210.4241</v>
      </c>
      <c r="D36" s="18">
        <f>C36/31.25/(($D$6-EXP(52.57-6690.9/(273.15+$D$5)-4.681*LN(273.15+$D$5)))/1013)*100/0.2095/(48.998-1.335*$D$5+0.02755*POWER($D$5,2)-0.000322*POWER($D$5,3)+0.000001598*POWER($D$5,4))/32*22.414</f>
        <v>82.81023214</v>
      </c>
      <c r="E36" s="20">
        <f>D36*20.95/100</f>
        <v>17.34874363</v>
      </c>
      <c r="F36" s="18">
        <f>($D$6-EXP(52.57-6690.9/(273.15+$D$5)-4.681*LN(273.15+$D$5)))*D36/100*0.2095</f>
        <v>162.528941</v>
      </c>
      <c r="G36" s="18">
        <f>F36/1.33322</f>
        <v>121.9070679</v>
      </c>
      <c r="H36" s="20">
        <f> (($D$6-EXP(52.57-6690.9/(273.15+$D$5)-4.681*LN(273.15+$D$5)))/1013)*$D$36/100*0.2095*(48.998-1.335*$D$5+0.02755*POWER($D$5,2)-0.000322*POWER($D$5,3)+0.000001598*POWER($D$5,4))*32/22.414</f>
        <v>6.7335712</v>
      </c>
      <c r="I36" s="20">
        <f>H36</f>
        <v>6.7335712</v>
      </c>
      <c r="J36" s="3"/>
      <c r="K36" s="3"/>
      <c r="L36" s="3"/>
      <c r="M36" s="3"/>
      <c r="N36" s="3"/>
      <c r="O36" s="3"/>
      <c r="P36" s="3"/>
    </row>
    <row r="37" ht="15.75" customHeight="1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.75" customHeight="1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.75" customHeight="1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.75" customHeight="1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.75" customHeight="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.75" customHeight="1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.75" customHeight="1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.75" customHeight="1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.75" customHeight="1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.75" customHeight="1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.75" customHeight="1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.75" customHeigh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.75" customHeight="1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.75" customHeight="1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.75" customHeight="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.75" customHeight="1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.75" customHeight="1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.75" customHeight="1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.75" customHeight="1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.75" customHeight="1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.75" customHeight="1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.75" customHeight="1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.75" customHeight="1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.75" customHeight="1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.75" customHeight="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.75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.75" customHeight="1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.75" customHeight="1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.75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.75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.75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.75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.75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.75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.75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.75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.75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.75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.75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5.75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5.75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5.75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5.75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5.75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5.75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5.75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5.75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5.75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5.75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5.75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5.75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5.75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5.75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5.75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5.75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5.75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5.75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5.75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5.75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5.75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5.75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5.75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5.75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5.75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5.75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5.75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5.75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5.7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5.75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5.75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5.75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5.75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5.75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5.75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5.75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5.75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5.75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5.75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5.75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5.75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5.75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5.75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5.75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5.75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mergeCells count="5">
    <mergeCell ref="A1:I1"/>
    <mergeCell ref="A2:I2"/>
    <mergeCell ref="B5:C5"/>
    <mergeCell ref="B6:C6"/>
    <mergeCell ref="G8:I10"/>
  </mergeCells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64.43"/>
    <col customWidth="1" min="3" max="3" width="1.57"/>
    <col customWidth="1" min="4" max="4" width="5.57"/>
    <col customWidth="1" min="5" max="6" width="16.0"/>
    <col customWidth="1" min="7" max="26" width="8.71"/>
  </cols>
  <sheetData>
    <row r="1">
      <c r="B1" s="33" t="s">
        <v>70</v>
      </c>
      <c r="C1" s="33"/>
      <c r="D1" s="34"/>
      <c r="E1" s="34"/>
      <c r="F1" s="34"/>
    </row>
    <row r="2">
      <c r="B2" s="33" t="s">
        <v>71</v>
      </c>
      <c r="C2" s="33"/>
      <c r="D2" s="34"/>
      <c r="E2" s="34"/>
      <c r="F2" s="34"/>
    </row>
    <row r="3">
      <c r="B3" s="35"/>
      <c r="C3" s="35"/>
      <c r="D3" s="36"/>
      <c r="E3" s="36"/>
      <c r="F3" s="36"/>
    </row>
    <row r="4">
      <c r="B4" s="35" t="s">
        <v>72</v>
      </c>
      <c r="C4" s="35"/>
      <c r="D4" s="36"/>
      <c r="E4" s="36"/>
      <c r="F4" s="36"/>
    </row>
    <row r="5">
      <c r="B5" s="35"/>
      <c r="C5" s="35"/>
      <c r="D5" s="36"/>
      <c r="E5" s="36"/>
      <c r="F5" s="36"/>
    </row>
    <row r="6">
      <c r="B6" s="33" t="s">
        <v>73</v>
      </c>
      <c r="C6" s="33"/>
      <c r="D6" s="34"/>
      <c r="E6" s="34" t="s">
        <v>74</v>
      </c>
      <c r="F6" s="34" t="s">
        <v>75</v>
      </c>
    </row>
    <row r="7">
      <c r="B7" s="35"/>
      <c r="C7" s="35"/>
      <c r="D7" s="36"/>
      <c r="E7" s="36"/>
      <c r="F7" s="36"/>
    </row>
    <row r="8">
      <c r="B8" s="37" t="s">
        <v>76</v>
      </c>
      <c r="C8" s="38"/>
      <c r="D8" s="39"/>
      <c r="E8" s="39">
        <v>25.0</v>
      </c>
      <c r="F8" s="40" t="s">
        <v>77</v>
      </c>
    </row>
    <row r="9">
      <c r="B9" s="35"/>
      <c r="C9" s="35"/>
      <c r="D9" s="36"/>
      <c r="E9" s="36"/>
      <c r="F9" s="36"/>
    </row>
    <row r="10">
      <c r="B10" s="35"/>
      <c r="C10" s="35"/>
      <c r="D10" s="36"/>
      <c r="E10" s="36"/>
      <c r="F10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2012-03-07T08:37:30Z</dcterms:created>
  <dc:creator>dati</dc:creator>
</cp:coreProperties>
</file>