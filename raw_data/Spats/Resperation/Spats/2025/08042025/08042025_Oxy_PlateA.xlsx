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Shared drives\CSMS_CBP_MassLab\Liel Uziahu\Stylophora pistillata\Physiology\Resperation\2025\08042025\"/>
    </mc:Choice>
  </mc:AlternateContent>
  <xr:revisionPtr revIDLastSave="0" documentId="13_ncr:1_{0D554F37-9E6F-457C-8187-3B82F220D0F1}" xr6:coauthVersionLast="47" xr6:coauthVersionMax="47" xr10:uidLastSave="{00000000-0000-0000-0000-000000000000}"/>
  <bookViews>
    <workbookView xWindow="-120" yWindow="-120" windowWidth="38640" windowHeight="21120" xr2:uid="{D621C9D9-82F7-489A-90A7-7A0684358EAF}"/>
  </bookViews>
  <sheets>
    <sheet name="Oxygen Orginal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9" i="2" l="1"/>
  <c r="E169" i="2"/>
  <c r="F169" i="2"/>
  <c r="G169" i="2"/>
  <c r="H169" i="2"/>
  <c r="I169" i="2"/>
  <c r="J169" i="2"/>
  <c r="K169" i="2"/>
  <c r="L169" i="2"/>
  <c r="M169" i="2"/>
  <c r="N169" i="2"/>
  <c r="O169" i="2"/>
  <c r="P169" i="2"/>
  <c r="Q169" i="2"/>
  <c r="R169" i="2"/>
  <c r="S169" i="2"/>
  <c r="T169" i="2"/>
  <c r="U169" i="2"/>
  <c r="V169" i="2"/>
  <c r="W169" i="2"/>
  <c r="X169" i="2"/>
  <c r="Y169" i="2"/>
  <c r="Z169" i="2"/>
  <c r="C169" i="2"/>
  <c r="C158" i="2"/>
  <c r="D158" i="2"/>
  <c r="E158" i="2"/>
  <c r="F158" i="2"/>
  <c r="G158" i="2"/>
  <c r="H158" i="2"/>
  <c r="I158" i="2"/>
  <c r="J158" i="2"/>
  <c r="K158" i="2"/>
  <c r="L158" i="2"/>
  <c r="M158" i="2"/>
  <c r="N158" i="2"/>
  <c r="O158" i="2"/>
  <c r="P158" i="2"/>
  <c r="Q158" i="2"/>
  <c r="R158" i="2"/>
  <c r="S158" i="2"/>
  <c r="T158" i="2"/>
  <c r="U158" i="2"/>
  <c r="V158" i="2"/>
  <c r="W158" i="2"/>
  <c r="X158" i="2"/>
  <c r="Y158" i="2"/>
  <c r="Z158" i="2"/>
  <c r="C159" i="2"/>
  <c r="D159" i="2"/>
  <c r="E159" i="2"/>
  <c r="F159" i="2"/>
  <c r="G159" i="2"/>
  <c r="H159" i="2"/>
  <c r="I159" i="2"/>
  <c r="J159" i="2"/>
  <c r="K159" i="2"/>
  <c r="L159" i="2"/>
  <c r="M159" i="2"/>
  <c r="N159" i="2"/>
  <c r="O159" i="2"/>
  <c r="P159" i="2"/>
  <c r="Q159" i="2"/>
  <c r="R159" i="2"/>
  <c r="S159" i="2"/>
  <c r="T159" i="2"/>
  <c r="U159" i="2"/>
  <c r="V159" i="2"/>
  <c r="W159" i="2"/>
  <c r="X159" i="2"/>
  <c r="Y159" i="2"/>
  <c r="Z159" i="2"/>
  <c r="C160" i="2"/>
  <c r="D160" i="2"/>
  <c r="E160" i="2"/>
  <c r="F160" i="2"/>
  <c r="G160" i="2"/>
  <c r="H160" i="2"/>
  <c r="I160" i="2"/>
  <c r="J160" i="2"/>
  <c r="K160" i="2"/>
  <c r="L160" i="2"/>
  <c r="M160" i="2"/>
  <c r="N160" i="2"/>
  <c r="O160" i="2"/>
  <c r="P160" i="2"/>
  <c r="Q160" i="2"/>
  <c r="R160" i="2"/>
  <c r="S160" i="2"/>
  <c r="T160" i="2"/>
  <c r="U160" i="2"/>
  <c r="V160" i="2"/>
  <c r="W160" i="2"/>
  <c r="X160" i="2"/>
  <c r="Y160" i="2"/>
  <c r="Z160" i="2"/>
  <c r="C161" i="2"/>
  <c r="D161" i="2"/>
  <c r="E161" i="2"/>
  <c r="F161" i="2"/>
  <c r="G161" i="2"/>
  <c r="H161" i="2"/>
  <c r="I161" i="2"/>
  <c r="J161" i="2"/>
  <c r="K161" i="2"/>
  <c r="L161" i="2"/>
  <c r="M161" i="2"/>
  <c r="N161" i="2"/>
  <c r="O161" i="2"/>
  <c r="P161" i="2"/>
  <c r="Q161" i="2"/>
  <c r="R161" i="2"/>
  <c r="S161" i="2"/>
  <c r="T161" i="2"/>
  <c r="U161" i="2"/>
  <c r="V161" i="2"/>
  <c r="W161" i="2"/>
  <c r="X161" i="2"/>
  <c r="Y161" i="2"/>
  <c r="Z161" i="2"/>
  <c r="C162" i="2"/>
  <c r="D162" i="2"/>
  <c r="E162" i="2"/>
  <c r="F162" i="2"/>
  <c r="G162" i="2"/>
  <c r="H162" i="2"/>
  <c r="I162" i="2"/>
  <c r="J162" i="2"/>
  <c r="K162" i="2"/>
  <c r="L162" i="2"/>
  <c r="M162" i="2"/>
  <c r="N162" i="2"/>
  <c r="O162" i="2"/>
  <c r="P162" i="2"/>
  <c r="Q162" i="2"/>
  <c r="R162" i="2"/>
  <c r="S162" i="2"/>
  <c r="T162" i="2"/>
  <c r="U162" i="2"/>
  <c r="V162" i="2"/>
  <c r="W162" i="2"/>
  <c r="X162" i="2"/>
  <c r="Y162" i="2"/>
  <c r="Z162" i="2"/>
  <c r="C163" i="2"/>
  <c r="D163" i="2"/>
  <c r="E163" i="2"/>
  <c r="F163" i="2"/>
  <c r="G163" i="2"/>
  <c r="H163" i="2"/>
  <c r="I163" i="2"/>
  <c r="J163" i="2"/>
  <c r="K163" i="2"/>
  <c r="L163" i="2"/>
  <c r="M163" i="2"/>
  <c r="N163" i="2"/>
  <c r="O163" i="2"/>
  <c r="P163" i="2"/>
  <c r="Q163" i="2"/>
  <c r="R163" i="2"/>
  <c r="S163" i="2"/>
  <c r="T163" i="2"/>
  <c r="U163" i="2"/>
  <c r="V163" i="2"/>
  <c r="W163" i="2"/>
  <c r="X163" i="2"/>
  <c r="Y163" i="2"/>
  <c r="Z163" i="2"/>
  <c r="C164" i="2"/>
  <c r="D164" i="2"/>
  <c r="E164" i="2"/>
  <c r="F164" i="2"/>
  <c r="G164" i="2"/>
  <c r="H164" i="2"/>
  <c r="I164" i="2"/>
  <c r="J164" i="2"/>
  <c r="K164" i="2"/>
  <c r="L164" i="2"/>
  <c r="M164" i="2"/>
  <c r="N164" i="2"/>
  <c r="O164" i="2"/>
  <c r="P164" i="2"/>
  <c r="Q164" i="2"/>
  <c r="R164" i="2"/>
  <c r="S164" i="2"/>
  <c r="T164" i="2"/>
  <c r="U164" i="2"/>
  <c r="V164" i="2"/>
  <c r="W164" i="2"/>
  <c r="X164" i="2"/>
  <c r="Y164" i="2"/>
  <c r="Z164" i="2"/>
  <c r="C165" i="2"/>
  <c r="D165" i="2"/>
  <c r="E165" i="2"/>
  <c r="F165" i="2"/>
  <c r="G165" i="2"/>
  <c r="H165" i="2"/>
  <c r="I165" i="2"/>
  <c r="J165" i="2"/>
  <c r="K165" i="2"/>
  <c r="L165" i="2"/>
  <c r="M165" i="2"/>
  <c r="N165" i="2"/>
  <c r="O165" i="2"/>
  <c r="P165" i="2"/>
  <c r="Q165" i="2"/>
  <c r="R165" i="2"/>
  <c r="S165" i="2"/>
  <c r="T165" i="2"/>
  <c r="U165" i="2"/>
  <c r="V165" i="2"/>
  <c r="W165" i="2"/>
  <c r="X165" i="2"/>
  <c r="Y165" i="2"/>
  <c r="Z165" i="2"/>
  <c r="C92" i="2"/>
  <c r="D92" i="2"/>
  <c r="E92" i="2"/>
  <c r="F92" i="2"/>
  <c r="G92" i="2"/>
  <c r="H92" i="2"/>
  <c r="I92" i="2"/>
  <c r="J92" i="2"/>
  <c r="K92" i="2"/>
  <c r="L92" i="2"/>
  <c r="M92" i="2"/>
  <c r="N92" i="2"/>
  <c r="O92" i="2"/>
  <c r="P92" i="2"/>
  <c r="Q92" i="2"/>
  <c r="R92" i="2"/>
  <c r="S92" i="2"/>
  <c r="T92" i="2"/>
  <c r="U92" i="2"/>
  <c r="V92" i="2"/>
  <c r="W92" i="2"/>
  <c r="X92" i="2"/>
  <c r="Y92" i="2"/>
  <c r="Z92" i="2"/>
  <c r="C93" i="2"/>
  <c r="D93" i="2"/>
  <c r="E93" i="2"/>
  <c r="F93" i="2"/>
  <c r="G93" i="2"/>
  <c r="H93" i="2"/>
  <c r="I93" i="2"/>
  <c r="J93" i="2"/>
  <c r="K93" i="2"/>
  <c r="L93" i="2"/>
  <c r="M93" i="2"/>
  <c r="N93" i="2"/>
  <c r="O93" i="2"/>
  <c r="P93" i="2"/>
  <c r="Q93" i="2"/>
  <c r="R93" i="2"/>
  <c r="S93" i="2"/>
  <c r="T93" i="2"/>
  <c r="U93" i="2"/>
  <c r="V93" i="2"/>
  <c r="W93" i="2"/>
  <c r="X93" i="2"/>
  <c r="Y93" i="2"/>
  <c r="Z93" i="2"/>
  <c r="C94" i="2"/>
  <c r="D94" i="2"/>
  <c r="E94" i="2"/>
  <c r="F94" i="2"/>
  <c r="G94" i="2"/>
  <c r="H94" i="2"/>
  <c r="I94" i="2"/>
  <c r="J94" i="2"/>
  <c r="K94" i="2"/>
  <c r="L94" i="2"/>
  <c r="M94" i="2"/>
  <c r="N94" i="2"/>
  <c r="O94" i="2"/>
  <c r="P94" i="2"/>
  <c r="Q94" i="2"/>
  <c r="R94" i="2"/>
  <c r="S94" i="2"/>
  <c r="T94" i="2"/>
  <c r="U94" i="2"/>
  <c r="V94" i="2"/>
  <c r="W94" i="2"/>
  <c r="X94" i="2"/>
  <c r="Y94" i="2"/>
  <c r="Z94" i="2"/>
  <c r="C95" i="2"/>
  <c r="D95" i="2"/>
  <c r="E95" i="2"/>
  <c r="F95" i="2"/>
  <c r="G95" i="2"/>
  <c r="H95" i="2"/>
  <c r="I95" i="2"/>
  <c r="J95" i="2"/>
  <c r="K95" i="2"/>
  <c r="L95" i="2"/>
  <c r="M95" i="2"/>
  <c r="N95" i="2"/>
  <c r="O95" i="2"/>
  <c r="P95" i="2"/>
  <c r="Q95" i="2"/>
  <c r="R95" i="2"/>
  <c r="S95" i="2"/>
  <c r="T95" i="2"/>
  <c r="U95" i="2"/>
  <c r="V95" i="2"/>
  <c r="W95" i="2"/>
  <c r="X95" i="2"/>
  <c r="Y95" i="2"/>
  <c r="Z95" i="2"/>
  <c r="C96" i="2"/>
  <c r="D96" i="2"/>
  <c r="E96" i="2"/>
  <c r="F96" i="2"/>
  <c r="G96" i="2"/>
  <c r="H96" i="2"/>
  <c r="I96" i="2"/>
  <c r="J96" i="2"/>
  <c r="K96" i="2"/>
  <c r="L96" i="2"/>
  <c r="M96" i="2"/>
  <c r="N96" i="2"/>
  <c r="O96" i="2"/>
  <c r="P96" i="2"/>
  <c r="Q96" i="2"/>
  <c r="R96" i="2"/>
  <c r="S96" i="2"/>
  <c r="T96" i="2"/>
  <c r="U96" i="2"/>
  <c r="V96" i="2"/>
  <c r="W96" i="2"/>
  <c r="X96" i="2"/>
  <c r="Y96" i="2"/>
  <c r="Z96" i="2"/>
  <c r="C97" i="2"/>
  <c r="D97" i="2"/>
  <c r="E97" i="2"/>
  <c r="F97" i="2"/>
  <c r="G97" i="2"/>
  <c r="H97" i="2"/>
  <c r="I97" i="2"/>
  <c r="J97" i="2"/>
  <c r="K97" i="2"/>
  <c r="L97" i="2"/>
  <c r="M97" i="2"/>
  <c r="N97" i="2"/>
  <c r="O97" i="2"/>
  <c r="P97" i="2"/>
  <c r="Q97" i="2"/>
  <c r="R97" i="2"/>
  <c r="S97" i="2"/>
  <c r="T97" i="2"/>
  <c r="U97" i="2"/>
  <c r="V97" i="2"/>
  <c r="W97" i="2"/>
  <c r="X97" i="2"/>
  <c r="Y97" i="2"/>
  <c r="Z97" i="2"/>
  <c r="C98" i="2"/>
  <c r="D98" i="2"/>
  <c r="E98" i="2"/>
  <c r="F98" i="2"/>
  <c r="G98" i="2"/>
  <c r="H98" i="2"/>
  <c r="I98" i="2"/>
  <c r="J98" i="2"/>
  <c r="K98" i="2"/>
  <c r="L98" i="2"/>
  <c r="M98" i="2"/>
  <c r="N98" i="2"/>
  <c r="O98" i="2"/>
  <c r="P98" i="2"/>
  <c r="Q98" i="2"/>
  <c r="R98" i="2"/>
  <c r="S98" i="2"/>
  <c r="T98" i="2"/>
  <c r="U98" i="2"/>
  <c r="V98" i="2"/>
  <c r="W98" i="2"/>
  <c r="X98" i="2"/>
  <c r="Y98" i="2"/>
  <c r="Z98" i="2"/>
  <c r="C99" i="2"/>
  <c r="D99" i="2"/>
  <c r="E99" i="2"/>
  <c r="F99" i="2"/>
  <c r="G99" i="2"/>
  <c r="H99" i="2"/>
  <c r="I99" i="2"/>
  <c r="J99" i="2"/>
  <c r="K99" i="2"/>
  <c r="L99" i="2"/>
  <c r="M99" i="2"/>
  <c r="N99" i="2"/>
  <c r="O99" i="2"/>
  <c r="P99" i="2"/>
  <c r="Q99" i="2"/>
  <c r="R99" i="2"/>
  <c r="S99" i="2"/>
  <c r="T99" i="2"/>
  <c r="U99" i="2"/>
  <c r="V99" i="2"/>
  <c r="W99" i="2"/>
  <c r="X99" i="2"/>
  <c r="Y99" i="2"/>
  <c r="Z99" i="2"/>
  <c r="C100" i="2"/>
  <c r="D100" i="2"/>
  <c r="E100" i="2"/>
  <c r="F100" i="2"/>
  <c r="G100" i="2"/>
  <c r="H100" i="2"/>
  <c r="I100" i="2"/>
  <c r="J100" i="2"/>
  <c r="K100" i="2"/>
  <c r="L100" i="2"/>
  <c r="M100" i="2"/>
  <c r="N100" i="2"/>
  <c r="O100" i="2"/>
  <c r="P100" i="2"/>
  <c r="Q100" i="2"/>
  <c r="R100" i="2"/>
  <c r="S100" i="2"/>
  <c r="T100" i="2"/>
  <c r="U100" i="2"/>
  <c r="V100" i="2"/>
  <c r="W100" i="2"/>
  <c r="X100" i="2"/>
  <c r="Y100" i="2"/>
  <c r="Z100" i="2"/>
  <c r="C101" i="2"/>
  <c r="D101" i="2"/>
  <c r="E101" i="2"/>
  <c r="F101" i="2"/>
  <c r="G101" i="2"/>
  <c r="H101" i="2"/>
  <c r="I101" i="2"/>
  <c r="J101" i="2"/>
  <c r="K101" i="2"/>
  <c r="L101" i="2"/>
  <c r="M101" i="2"/>
  <c r="N101" i="2"/>
  <c r="O101" i="2"/>
  <c r="P101" i="2"/>
  <c r="Q101" i="2"/>
  <c r="R101" i="2"/>
  <c r="S101" i="2"/>
  <c r="T101" i="2"/>
  <c r="U101" i="2"/>
  <c r="V101" i="2"/>
  <c r="W101" i="2"/>
  <c r="X101" i="2"/>
  <c r="Y101" i="2"/>
  <c r="Z101" i="2"/>
  <c r="C102" i="2"/>
  <c r="D102" i="2"/>
  <c r="E102" i="2"/>
  <c r="F102" i="2"/>
  <c r="G102" i="2"/>
  <c r="H102" i="2"/>
  <c r="I102" i="2"/>
  <c r="J102" i="2"/>
  <c r="K102" i="2"/>
  <c r="L102" i="2"/>
  <c r="M102" i="2"/>
  <c r="N102" i="2"/>
  <c r="O102" i="2"/>
  <c r="P102" i="2"/>
  <c r="Q102" i="2"/>
  <c r="R102" i="2"/>
  <c r="S102" i="2"/>
  <c r="T102" i="2"/>
  <c r="U102" i="2"/>
  <c r="V102" i="2"/>
  <c r="W102" i="2"/>
  <c r="X102" i="2"/>
  <c r="Y102" i="2"/>
  <c r="Z102" i="2"/>
  <c r="C103" i="2"/>
  <c r="D103" i="2"/>
  <c r="E103" i="2"/>
  <c r="F103" i="2"/>
  <c r="G103" i="2"/>
  <c r="H103" i="2"/>
  <c r="I103" i="2"/>
  <c r="J103" i="2"/>
  <c r="K103" i="2"/>
  <c r="L103" i="2"/>
  <c r="M103" i="2"/>
  <c r="N103" i="2"/>
  <c r="O103" i="2"/>
  <c r="P103" i="2"/>
  <c r="Q103" i="2"/>
  <c r="R103" i="2"/>
  <c r="S103" i="2"/>
  <c r="T103" i="2"/>
  <c r="U103" i="2"/>
  <c r="V103" i="2"/>
  <c r="W103" i="2"/>
  <c r="X103" i="2"/>
  <c r="Y103" i="2"/>
  <c r="Z103" i="2"/>
  <c r="C104" i="2"/>
  <c r="D104" i="2"/>
  <c r="E104" i="2"/>
  <c r="F104" i="2"/>
  <c r="G104" i="2"/>
  <c r="H104" i="2"/>
  <c r="I104" i="2"/>
  <c r="J104" i="2"/>
  <c r="K104" i="2"/>
  <c r="L104" i="2"/>
  <c r="M104" i="2"/>
  <c r="N104" i="2"/>
  <c r="O104" i="2"/>
  <c r="P104" i="2"/>
  <c r="Q104" i="2"/>
  <c r="R104" i="2"/>
  <c r="S104" i="2"/>
  <c r="T104" i="2"/>
  <c r="U104" i="2"/>
  <c r="V104" i="2"/>
  <c r="W104" i="2"/>
  <c r="X104" i="2"/>
  <c r="Y104" i="2"/>
  <c r="Z104" i="2"/>
  <c r="C105" i="2"/>
  <c r="D105" i="2"/>
  <c r="E105" i="2"/>
  <c r="F105" i="2"/>
  <c r="G105" i="2"/>
  <c r="H105" i="2"/>
  <c r="I105" i="2"/>
  <c r="J105" i="2"/>
  <c r="K105" i="2"/>
  <c r="L105" i="2"/>
  <c r="M105" i="2"/>
  <c r="N105" i="2"/>
  <c r="O105" i="2"/>
  <c r="P105" i="2"/>
  <c r="Q105" i="2"/>
  <c r="R105" i="2"/>
  <c r="S105" i="2"/>
  <c r="T105" i="2"/>
  <c r="U105" i="2"/>
  <c r="V105" i="2"/>
  <c r="W105" i="2"/>
  <c r="X105" i="2"/>
  <c r="Y105" i="2"/>
  <c r="Z105" i="2"/>
  <c r="C106" i="2"/>
  <c r="D106" i="2"/>
  <c r="E106" i="2"/>
  <c r="F106" i="2"/>
  <c r="G106" i="2"/>
  <c r="H106" i="2"/>
  <c r="I106" i="2"/>
  <c r="J106" i="2"/>
  <c r="K106" i="2"/>
  <c r="L106" i="2"/>
  <c r="M106" i="2"/>
  <c r="N106" i="2"/>
  <c r="O106" i="2"/>
  <c r="P106" i="2"/>
  <c r="Q106" i="2"/>
  <c r="R106" i="2"/>
  <c r="S106" i="2"/>
  <c r="T106" i="2"/>
  <c r="U106" i="2"/>
  <c r="V106" i="2"/>
  <c r="W106" i="2"/>
  <c r="X106" i="2"/>
  <c r="Y106" i="2"/>
  <c r="Z106" i="2"/>
  <c r="C107" i="2"/>
  <c r="D107" i="2"/>
  <c r="E107" i="2"/>
  <c r="F107" i="2"/>
  <c r="G107" i="2"/>
  <c r="H107" i="2"/>
  <c r="I107" i="2"/>
  <c r="J107" i="2"/>
  <c r="K107" i="2"/>
  <c r="L107" i="2"/>
  <c r="M107" i="2"/>
  <c r="N107" i="2"/>
  <c r="O107" i="2"/>
  <c r="P107" i="2"/>
  <c r="Q107" i="2"/>
  <c r="R107" i="2"/>
  <c r="S107" i="2"/>
  <c r="T107" i="2"/>
  <c r="U107" i="2"/>
  <c r="V107" i="2"/>
  <c r="W107" i="2"/>
  <c r="X107" i="2"/>
  <c r="Y107" i="2"/>
  <c r="Z107" i="2"/>
  <c r="C108" i="2"/>
  <c r="D108" i="2"/>
  <c r="E108" i="2"/>
  <c r="F108" i="2"/>
  <c r="G108" i="2"/>
  <c r="H108" i="2"/>
  <c r="I108" i="2"/>
  <c r="J108" i="2"/>
  <c r="K108" i="2"/>
  <c r="L108" i="2"/>
  <c r="M108" i="2"/>
  <c r="N108" i="2"/>
  <c r="O108" i="2"/>
  <c r="P108" i="2"/>
  <c r="Q108" i="2"/>
  <c r="R108" i="2"/>
  <c r="S108" i="2"/>
  <c r="T108" i="2"/>
  <c r="U108" i="2"/>
  <c r="V108" i="2"/>
  <c r="W108" i="2"/>
  <c r="X108" i="2"/>
  <c r="Y108" i="2"/>
  <c r="Z108" i="2"/>
  <c r="C109" i="2"/>
  <c r="D109" i="2"/>
  <c r="E109" i="2"/>
  <c r="F109" i="2"/>
  <c r="G109" i="2"/>
  <c r="H109" i="2"/>
  <c r="I109" i="2"/>
  <c r="J109" i="2"/>
  <c r="K109" i="2"/>
  <c r="L109" i="2"/>
  <c r="M109" i="2"/>
  <c r="N109" i="2"/>
  <c r="O109" i="2"/>
  <c r="P109" i="2"/>
  <c r="Q109" i="2"/>
  <c r="R109" i="2"/>
  <c r="S109" i="2"/>
  <c r="T109" i="2"/>
  <c r="U109" i="2"/>
  <c r="V109" i="2"/>
  <c r="W109" i="2"/>
  <c r="X109" i="2"/>
  <c r="Y109" i="2"/>
  <c r="Z109" i="2"/>
  <c r="C110" i="2"/>
  <c r="D110" i="2"/>
  <c r="E110" i="2"/>
  <c r="F110" i="2"/>
  <c r="G110" i="2"/>
  <c r="H110" i="2"/>
  <c r="I110" i="2"/>
  <c r="J110" i="2"/>
  <c r="K110" i="2"/>
  <c r="L110" i="2"/>
  <c r="M110" i="2"/>
  <c r="N110" i="2"/>
  <c r="O110" i="2"/>
  <c r="P110" i="2"/>
  <c r="Q110" i="2"/>
  <c r="R110" i="2"/>
  <c r="S110" i="2"/>
  <c r="T110" i="2"/>
  <c r="U110" i="2"/>
  <c r="V110" i="2"/>
  <c r="W110" i="2"/>
  <c r="X110" i="2"/>
  <c r="Y110" i="2"/>
  <c r="Z110" i="2"/>
  <c r="C111" i="2"/>
  <c r="D111" i="2"/>
  <c r="E111" i="2"/>
  <c r="F111" i="2"/>
  <c r="G111" i="2"/>
  <c r="H111" i="2"/>
  <c r="I111" i="2"/>
  <c r="J111" i="2"/>
  <c r="K111" i="2"/>
  <c r="L111" i="2"/>
  <c r="M111" i="2"/>
  <c r="N111" i="2"/>
  <c r="O111" i="2"/>
  <c r="P111" i="2"/>
  <c r="Q111" i="2"/>
  <c r="R111" i="2"/>
  <c r="S111" i="2"/>
  <c r="T111" i="2"/>
  <c r="U111" i="2"/>
  <c r="V111" i="2"/>
  <c r="W111" i="2"/>
  <c r="X111" i="2"/>
  <c r="Y111" i="2"/>
  <c r="Z111" i="2"/>
  <c r="C112" i="2"/>
  <c r="D112" i="2"/>
  <c r="E112" i="2"/>
  <c r="F112" i="2"/>
  <c r="G112" i="2"/>
  <c r="H112" i="2"/>
  <c r="I112" i="2"/>
  <c r="J112" i="2"/>
  <c r="K112" i="2"/>
  <c r="L112" i="2"/>
  <c r="M112" i="2"/>
  <c r="N112" i="2"/>
  <c r="O112" i="2"/>
  <c r="P112" i="2"/>
  <c r="Q112" i="2"/>
  <c r="R112" i="2"/>
  <c r="S112" i="2"/>
  <c r="T112" i="2"/>
  <c r="U112" i="2"/>
  <c r="V112" i="2"/>
  <c r="W112" i="2"/>
  <c r="X112" i="2"/>
  <c r="Y112" i="2"/>
  <c r="Z112" i="2"/>
  <c r="C113" i="2"/>
  <c r="D113" i="2"/>
  <c r="E113" i="2"/>
  <c r="F113" i="2"/>
  <c r="G113" i="2"/>
  <c r="H113" i="2"/>
  <c r="I113" i="2"/>
  <c r="J113" i="2"/>
  <c r="K113" i="2"/>
  <c r="L113" i="2"/>
  <c r="M113" i="2"/>
  <c r="N113" i="2"/>
  <c r="O113" i="2"/>
  <c r="P113" i="2"/>
  <c r="Q113" i="2"/>
  <c r="R113" i="2"/>
  <c r="S113" i="2"/>
  <c r="T113" i="2"/>
  <c r="U113" i="2"/>
  <c r="V113" i="2"/>
  <c r="W113" i="2"/>
  <c r="X113" i="2"/>
  <c r="Y113" i="2"/>
  <c r="Z113" i="2"/>
  <c r="C114" i="2"/>
  <c r="D114" i="2"/>
  <c r="E114" i="2"/>
  <c r="F114" i="2"/>
  <c r="G114" i="2"/>
  <c r="H114" i="2"/>
  <c r="I114" i="2"/>
  <c r="J114" i="2"/>
  <c r="K114" i="2"/>
  <c r="L114" i="2"/>
  <c r="M114" i="2"/>
  <c r="N114" i="2"/>
  <c r="O114" i="2"/>
  <c r="P114" i="2"/>
  <c r="Q114" i="2"/>
  <c r="R114" i="2"/>
  <c r="S114" i="2"/>
  <c r="T114" i="2"/>
  <c r="U114" i="2"/>
  <c r="V114" i="2"/>
  <c r="W114" i="2"/>
  <c r="X114" i="2"/>
  <c r="Y114" i="2"/>
  <c r="Z114" i="2"/>
  <c r="C115" i="2"/>
  <c r="D115" i="2"/>
  <c r="E115" i="2"/>
  <c r="F115" i="2"/>
  <c r="G115" i="2"/>
  <c r="H115" i="2"/>
  <c r="I115" i="2"/>
  <c r="J115" i="2"/>
  <c r="K115" i="2"/>
  <c r="L115" i="2"/>
  <c r="M115" i="2"/>
  <c r="N115" i="2"/>
  <c r="O115" i="2"/>
  <c r="P115" i="2"/>
  <c r="Q115" i="2"/>
  <c r="R115" i="2"/>
  <c r="S115" i="2"/>
  <c r="T115" i="2"/>
  <c r="U115" i="2"/>
  <c r="V115" i="2"/>
  <c r="W115" i="2"/>
  <c r="X115" i="2"/>
  <c r="Y115" i="2"/>
  <c r="Z115" i="2"/>
  <c r="C116" i="2"/>
  <c r="D116" i="2"/>
  <c r="E116" i="2"/>
  <c r="F116" i="2"/>
  <c r="G116" i="2"/>
  <c r="H116" i="2"/>
  <c r="I116" i="2"/>
  <c r="J116" i="2"/>
  <c r="K116" i="2"/>
  <c r="L116" i="2"/>
  <c r="M116" i="2"/>
  <c r="N116" i="2"/>
  <c r="O116" i="2"/>
  <c r="P116" i="2"/>
  <c r="Q116" i="2"/>
  <c r="R116" i="2"/>
  <c r="S116" i="2"/>
  <c r="T116" i="2"/>
  <c r="U116" i="2"/>
  <c r="V116" i="2"/>
  <c r="W116" i="2"/>
  <c r="X116" i="2"/>
  <c r="Y116" i="2"/>
  <c r="Z116" i="2"/>
  <c r="C117" i="2"/>
  <c r="D117" i="2"/>
  <c r="E117" i="2"/>
  <c r="F117" i="2"/>
  <c r="G117" i="2"/>
  <c r="H117" i="2"/>
  <c r="I117" i="2"/>
  <c r="J117" i="2"/>
  <c r="K117" i="2"/>
  <c r="L117" i="2"/>
  <c r="M117" i="2"/>
  <c r="N117" i="2"/>
  <c r="O117" i="2"/>
  <c r="P117" i="2"/>
  <c r="Q117" i="2"/>
  <c r="R117" i="2"/>
  <c r="S117" i="2"/>
  <c r="T117" i="2"/>
  <c r="U117" i="2"/>
  <c r="V117" i="2"/>
  <c r="W117" i="2"/>
  <c r="X117" i="2"/>
  <c r="Y117" i="2"/>
  <c r="Z117" i="2"/>
  <c r="C118" i="2"/>
  <c r="D118" i="2"/>
  <c r="E118" i="2"/>
  <c r="F118" i="2"/>
  <c r="G118" i="2"/>
  <c r="H118" i="2"/>
  <c r="I118" i="2"/>
  <c r="J118" i="2"/>
  <c r="K118" i="2"/>
  <c r="L118" i="2"/>
  <c r="M118" i="2"/>
  <c r="N118" i="2"/>
  <c r="O118" i="2"/>
  <c r="P118" i="2"/>
  <c r="Q118" i="2"/>
  <c r="R118" i="2"/>
  <c r="S118" i="2"/>
  <c r="T118" i="2"/>
  <c r="U118" i="2"/>
  <c r="V118" i="2"/>
  <c r="W118" i="2"/>
  <c r="X118" i="2"/>
  <c r="Y118" i="2"/>
  <c r="Z118" i="2"/>
  <c r="C119" i="2"/>
  <c r="D119" i="2"/>
  <c r="E119" i="2"/>
  <c r="F119" i="2"/>
  <c r="G119" i="2"/>
  <c r="H119" i="2"/>
  <c r="I119" i="2"/>
  <c r="J119" i="2"/>
  <c r="K119" i="2"/>
  <c r="L119" i="2"/>
  <c r="M119" i="2"/>
  <c r="N119" i="2"/>
  <c r="O119" i="2"/>
  <c r="P119" i="2"/>
  <c r="Q119" i="2"/>
  <c r="R119" i="2"/>
  <c r="S119" i="2"/>
  <c r="T119" i="2"/>
  <c r="U119" i="2"/>
  <c r="V119" i="2"/>
  <c r="W119" i="2"/>
  <c r="X119" i="2"/>
  <c r="Y119" i="2"/>
  <c r="Z119" i="2"/>
  <c r="C120" i="2"/>
  <c r="D120" i="2"/>
  <c r="E120" i="2"/>
  <c r="F120" i="2"/>
  <c r="G120" i="2"/>
  <c r="H120" i="2"/>
  <c r="I120" i="2"/>
  <c r="J120" i="2"/>
  <c r="K120" i="2"/>
  <c r="L120" i="2"/>
  <c r="M120" i="2"/>
  <c r="N120" i="2"/>
  <c r="O120" i="2"/>
  <c r="P120" i="2"/>
  <c r="Q120" i="2"/>
  <c r="R120" i="2"/>
  <c r="S120" i="2"/>
  <c r="T120" i="2"/>
  <c r="U120" i="2"/>
  <c r="V120" i="2"/>
  <c r="W120" i="2"/>
  <c r="X120" i="2"/>
  <c r="Y120" i="2"/>
  <c r="Z120" i="2"/>
  <c r="C121" i="2"/>
  <c r="D121" i="2"/>
  <c r="E121" i="2"/>
  <c r="F121" i="2"/>
  <c r="G121" i="2"/>
  <c r="H121" i="2"/>
  <c r="I121" i="2"/>
  <c r="J121" i="2"/>
  <c r="K121" i="2"/>
  <c r="L121" i="2"/>
  <c r="M121" i="2"/>
  <c r="N121" i="2"/>
  <c r="O121" i="2"/>
  <c r="P121" i="2"/>
  <c r="Q121" i="2"/>
  <c r="R121" i="2"/>
  <c r="S121" i="2"/>
  <c r="T121" i="2"/>
  <c r="U121" i="2"/>
  <c r="V121" i="2"/>
  <c r="W121" i="2"/>
  <c r="X121" i="2"/>
  <c r="Y121" i="2"/>
  <c r="Z121" i="2"/>
  <c r="C122" i="2"/>
  <c r="D122" i="2"/>
  <c r="E122" i="2"/>
  <c r="F122" i="2"/>
  <c r="G122" i="2"/>
  <c r="H122" i="2"/>
  <c r="I122" i="2"/>
  <c r="J122" i="2"/>
  <c r="K122" i="2"/>
  <c r="L122" i="2"/>
  <c r="M122" i="2"/>
  <c r="N122" i="2"/>
  <c r="O122" i="2"/>
  <c r="P122" i="2"/>
  <c r="Q122" i="2"/>
  <c r="R122" i="2"/>
  <c r="S122" i="2"/>
  <c r="T122" i="2"/>
  <c r="U122" i="2"/>
  <c r="V122" i="2"/>
  <c r="W122" i="2"/>
  <c r="X122" i="2"/>
  <c r="Y122" i="2"/>
  <c r="Z122" i="2"/>
  <c r="C123" i="2"/>
  <c r="D123" i="2"/>
  <c r="E123" i="2"/>
  <c r="F123" i="2"/>
  <c r="G123" i="2"/>
  <c r="H123" i="2"/>
  <c r="I123" i="2"/>
  <c r="J123" i="2"/>
  <c r="K123" i="2"/>
  <c r="L123" i="2"/>
  <c r="M123" i="2"/>
  <c r="N123" i="2"/>
  <c r="O123" i="2"/>
  <c r="P123" i="2"/>
  <c r="Q123" i="2"/>
  <c r="R123" i="2"/>
  <c r="S123" i="2"/>
  <c r="T123" i="2"/>
  <c r="U123" i="2"/>
  <c r="V123" i="2"/>
  <c r="W123" i="2"/>
  <c r="X123" i="2"/>
  <c r="Y123" i="2"/>
  <c r="Z123" i="2"/>
  <c r="C124" i="2"/>
  <c r="D124" i="2"/>
  <c r="E124" i="2"/>
  <c r="F124" i="2"/>
  <c r="G124" i="2"/>
  <c r="H124" i="2"/>
  <c r="I124" i="2"/>
  <c r="J124" i="2"/>
  <c r="K124" i="2"/>
  <c r="L124" i="2"/>
  <c r="M124" i="2"/>
  <c r="N124" i="2"/>
  <c r="O124" i="2"/>
  <c r="P124" i="2"/>
  <c r="Q124" i="2"/>
  <c r="R124" i="2"/>
  <c r="S124" i="2"/>
  <c r="T124" i="2"/>
  <c r="U124" i="2"/>
  <c r="V124" i="2"/>
  <c r="W124" i="2"/>
  <c r="X124" i="2"/>
  <c r="Y124" i="2"/>
  <c r="Z124" i="2"/>
  <c r="C125" i="2"/>
  <c r="D125" i="2"/>
  <c r="E125" i="2"/>
  <c r="F125" i="2"/>
  <c r="G125" i="2"/>
  <c r="H125" i="2"/>
  <c r="I125" i="2"/>
  <c r="J125" i="2"/>
  <c r="K125" i="2"/>
  <c r="L125" i="2"/>
  <c r="M125" i="2"/>
  <c r="N125" i="2"/>
  <c r="O125" i="2"/>
  <c r="P125" i="2"/>
  <c r="Q125" i="2"/>
  <c r="R125" i="2"/>
  <c r="S125" i="2"/>
  <c r="T125" i="2"/>
  <c r="U125" i="2"/>
  <c r="V125" i="2"/>
  <c r="W125" i="2"/>
  <c r="X125" i="2"/>
  <c r="Y125" i="2"/>
  <c r="Z125" i="2"/>
  <c r="C126" i="2"/>
  <c r="D126" i="2"/>
  <c r="E126" i="2"/>
  <c r="F126" i="2"/>
  <c r="G126" i="2"/>
  <c r="H126" i="2"/>
  <c r="I126" i="2"/>
  <c r="J126" i="2"/>
  <c r="K126" i="2"/>
  <c r="L126" i="2"/>
  <c r="M126" i="2"/>
  <c r="N126" i="2"/>
  <c r="O126" i="2"/>
  <c r="P126" i="2"/>
  <c r="Q126" i="2"/>
  <c r="R126" i="2"/>
  <c r="S126" i="2"/>
  <c r="T126" i="2"/>
  <c r="U126" i="2"/>
  <c r="V126" i="2"/>
  <c r="W126" i="2"/>
  <c r="X126" i="2"/>
  <c r="Y126" i="2"/>
  <c r="Z126" i="2"/>
  <c r="C127" i="2"/>
  <c r="D127" i="2"/>
  <c r="E127" i="2"/>
  <c r="F127" i="2"/>
  <c r="G127" i="2"/>
  <c r="H127" i="2"/>
  <c r="I127" i="2"/>
  <c r="J127" i="2"/>
  <c r="K127" i="2"/>
  <c r="L127" i="2"/>
  <c r="M127" i="2"/>
  <c r="N127" i="2"/>
  <c r="O127" i="2"/>
  <c r="P127" i="2"/>
  <c r="Q127" i="2"/>
  <c r="R127" i="2"/>
  <c r="S127" i="2"/>
  <c r="T127" i="2"/>
  <c r="U127" i="2"/>
  <c r="V127" i="2"/>
  <c r="W127" i="2"/>
  <c r="X127" i="2"/>
  <c r="Y127" i="2"/>
  <c r="Z127" i="2"/>
  <c r="C128" i="2"/>
  <c r="D128" i="2"/>
  <c r="E128" i="2"/>
  <c r="F128" i="2"/>
  <c r="G128" i="2"/>
  <c r="H128" i="2"/>
  <c r="I128" i="2"/>
  <c r="J128" i="2"/>
  <c r="K128" i="2"/>
  <c r="L128" i="2"/>
  <c r="M128" i="2"/>
  <c r="N128" i="2"/>
  <c r="O128" i="2"/>
  <c r="P128" i="2"/>
  <c r="Q128" i="2"/>
  <c r="R128" i="2"/>
  <c r="S128" i="2"/>
  <c r="T128" i="2"/>
  <c r="U128" i="2"/>
  <c r="V128" i="2"/>
  <c r="W128" i="2"/>
  <c r="X128" i="2"/>
  <c r="Y128" i="2"/>
  <c r="Z128" i="2"/>
  <c r="C129" i="2"/>
  <c r="D129" i="2"/>
  <c r="E129" i="2"/>
  <c r="F129" i="2"/>
  <c r="G129" i="2"/>
  <c r="H129" i="2"/>
  <c r="I129" i="2"/>
  <c r="J129" i="2"/>
  <c r="K129" i="2"/>
  <c r="L129" i="2"/>
  <c r="M129" i="2"/>
  <c r="N129" i="2"/>
  <c r="O129" i="2"/>
  <c r="P129" i="2"/>
  <c r="Q129" i="2"/>
  <c r="R129" i="2"/>
  <c r="S129" i="2"/>
  <c r="T129" i="2"/>
  <c r="U129" i="2"/>
  <c r="V129" i="2"/>
  <c r="W129" i="2"/>
  <c r="X129" i="2"/>
  <c r="Y129" i="2"/>
  <c r="Z129" i="2"/>
  <c r="C130" i="2"/>
  <c r="D130" i="2"/>
  <c r="E130" i="2"/>
  <c r="F130" i="2"/>
  <c r="G130" i="2"/>
  <c r="H130" i="2"/>
  <c r="I130" i="2"/>
  <c r="J130" i="2"/>
  <c r="K130" i="2"/>
  <c r="L130" i="2"/>
  <c r="M130" i="2"/>
  <c r="N130" i="2"/>
  <c r="O130" i="2"/>
  <c r="P130" i="2"/>
  <c r="Q130" i="2"/>
  <c r="R130" i="2"/>
  <c r="S130" i="2"/>
  <c r="T130" i="2"/>
  <c r="U130" i="2"/>
  <c r="V130" i="2"/>
  <c r="W130" i="2"/>
  <c r="X130" i="2"/>
  <c r="Y130" i="2"/>
  <c r="Z130" i="2"/>
  <c r="C131" i="2"/>
  <c r="D131" i="2"/>
  <c r="E131" i="2"/>
  <c r="F131" i="2"/>
  <c r="G131" i="2"/>
  <c r="H131" i="2"/>
  <c r="I131" i="2"/>
  <c r="J131" i="2"/>
  <c r="K131" i="2"/>
  <c r="L131" i="2"/>
  <c r="M131" i="2"/>
  <c r="N131" i="2"/>
  <c r="O131" i="2"/>
  <c r="P131" i="2"/>
  <c r="Q131" i="2"/>
  <c r="R131" i="2"/>
  <c r="S131" i="2"/>
  <c r="T131" i="2"/>
  <c r="U131" i="2"/>
  <c r="V131" i="2"/>
  <c r="W131" i="2"/>
  <c r="X131" i="2"/>
  <c r="Y131" i="2"/>
  <c r="Z131" i="2"/>
  <c r="C132" i="2"/>
  <c r="D132" i="2"/>
  <c r="E132" i="2"/>
  <c r="F132" i="2"/>
  <c r="G132" i="2"/>
  <c r="H132" i="2"/>
  <c r="I132" i="2"/>
  <c r="J132" i="2"/>
  <c r="K132" i="2"/>
  <c r="L132" i="2"/>
  <c r="M132" i="2"/>
  <c r="N132" i="2"/>
  <c r="O132" i="2"/>
  <c r="P132" i="2"/>
  <c r="Q132" i="2"/>
  <c r="R132" i="2"/>
  <c r="S132" i="2"/>
  <c r="T132" i="2"/>
  <c r="U132" i="2"/>
  <c r="V132" i="2"/>
  <c r="W132" i="2"/>
  <c r="X132" i="2"/>
  <c r="Y132" i="2"/>
  <c r="Z132" i="2"/>
  <c r="C133" i="2"/>
  <c r="D133" i="2"/>
  <c r="E133" i="2"/>
  <c r="F133" i="2"/>
  <c r="G133" i="2"/>
  <c r="H133" i="2"/>
  <c r="I133" i="2"/>
  <c r="J133" i="2"/>
  <c r="K133" i="2"/>
  <c r="L133" i="2"/>
  <c r="M133" i="2"/>
  <c r="N133" i="2"/>
  <c r="O133" i="2"/>
  <c r="P133" i="2"/>
  <c r="Q133" i="2"/>
  <c r="R133" i="2"/>
  <c r="S133" i="2"/>
  <c r="T133" i="2"/>
  <c r="U133" i="2"/>
  <c r="V133" i="2"/>
  <c r="W133" i="2"/>
  <c r="X133" i="2"/>
  <c r="Y133" i="2"/>
  <c r="Z133" i="2"/>
  <c r="C134" i="2"/>
  <c r="D134" i="2"/>
  <c r="E134" i="2"/>
  <c r="F134" i="2"/>
  <c r="G134" i="2"/>
  <c r="H134" i="2"/>
  <c r="I134" i="2"/>
  <c r="J134" i="2"/>
  <c r="K134" i="2"/>
  <c r="L134" i="2"/>
  <c r="M134" i="2"/>
  <c r="N134" i="2"/>
  <c r="O134" i="2"/>
  <c r="P134" i="2"/>
  <c r="Q134" i="2"/>
  <c r="R134" i="2"/>
  <c r="S134" i="2"/>
  <c r="T134" i="2"/>
  <c r="U134" i="2"/>
  <c r="V134" i="2"/>
  <c r="W134" i="2"/>
  <c r="X134" i="2"/>
  <c r="Y134" i="2"/>
  <c r="Z134" i="2"/>
  <c r="C135" i="2"/>
  <c r="D135" i="2"/>
  <c r="E135" i="2"/>
  <c r="F135" i="2"/>
  <c r="G135" i="2"/>
  <c r="H135" i="2"/>
  <c r="I135" i="2"/>
  <c r="J135" i="2"/>
  <c r="K135" i="2"/>
  <c r="L135" i="2"/>
  <c r="M135" i="2"/>
  <c r="N135" i="2"/>
  <c r="O135" i="2"/>
  <c r="P135" i="2"/>
  <c r="Q135" i="2"/>
  <c r="R135" i="2"/>
  <c r="S135" i="2"/>
  <c r="T135" i="2"/>
  <c r="U135" i="2"/>
  <c r="V135" i="2"/>
  <c r="W135" i="2"/>
  <c r="X135" i="2"/>
  <c r="Y135" i="2"/>
  <c r="Z135" i="2"/>
  <c r="C136" i="2"/>
  <c r="D136" i="2"/>
  <c r="E136" i="2"/>
  <c r="F136" i="2"/>
  <c r="G136" i="2"/>
  <c r="H136" i="2"/>
  <c r="I136" i="2"/>
  <c r="J136" i="2"/>
  <c r="K136" i="2"/>
  <c r="L136" i="2"/>
  <c r="M136" i="2"/>
  <c r="N136" i="2"/>
  <c r="O136" i="2"/>
  <c r="P136" i="2"/>
  <c r="Q136" i="2"/>
  <c r="R136" i="2"/>
  <c r="S136" i="2"/>
  <c r="T136" i="2"/>
  <c r="U136" i="2"/>
  <c r="V136" i="2"/>
  <c r="W136" i="2"/>
  <c r="X136" i="2"/>
  <c r="Y136" i="2"/>
  <c r="Z136" i="2"/>
  <c r="C137" i="2"/>
  <c r="D137" i="2"/>
  <c r="E137" i="2"/>
  <c r="F137" i="2"/>
  <c r="G137" i="2"/>
  <c r="H137" i="2"/>
  <c r="I137" i="2"/>
  <c r="J137" i="2"/>
  <c r="K137" i="2"/>
  <c r="L137" i="2"/>
  <c r="M137" i="2"/>
  <c r="N137" i="2"/>
  <c r="O137" i="2"/>
  <c r="P137" i="2"/>
  <c r="Q137" i="2"/>
  <c r="R137" i="2"/>
  <c r="S137" i="2"/>
  <c r="T137" i="2"/>
  <c r="U137" i="2"/>
  <c r="V137" i="2"/>
  <c r="W137" i="2"/>
  <c r="X137" i="2"/>
  <c r="Y137" i="2"/>
  <c r="Z137" i="2"/>
  <c r="C138" i="2"/>
  <c r="D138" i="2"/>
  <c r="E138" i="2"/>
  <c r="F138" i="2"/>
  <c r="G138" i="2"/>
  <c r="H138" i="2"/>
  <c r="I138" i="2"/>
  <c r="J138" i="2"/>
  <c r="K138" i="2"/>
  <c r="L138" i="2"/>
  <c r="M138" i="2"/>
  <c r="N138" i="2"/>
  <c r="O138" i="2"/>
  <c r="P138" i="2"/>
  <c r="Q138" i="2"/>
  <c r="R138" i="2"/>
  <c r="S138" i="2"/>
  <c r="T138" i="2"/>
  <c r="U138" i="2"/>
  <c r="V138" i="2"/>
  <c r="W138" i="2"/>
  <c r="X138" i="2"/>
  <c r="Y138" i="2"/>
  <c r="Z138" i="2"/>
  <c r="C139" i="2"/>
  <c r="D139" i="2"/>
  <c r="E139" i="2"/>
  <c r="F139" i="2"/>
  <c r="G139" i="2"/>
  <c r="H139" i="2"/>
  <c r="I139" i="2"/>
  <c r="J139" i="2"/>
  <c r="K139" i="2"/>
  <c r="L139" i="2"/>
  <c r="M139" i="2"/>
  <c r="N139" i="2"/>
  <c r="O139" i="2"/>
  <c r="P139" i="2"/>
  <c r="Q139" i="2"/>
  <c r="R139" i="2"/>
  <c r="S139" i="2"/>
  <c r="T139" i="2"/>
  <c r="U139" i="2"/>
  <c r="V139" i="2"/>
  <c r="W139" i="2"/>
  <c r="X139" i="2"/>
  <c r="Y139" i="2"/>
  <c r="Z139" i="2"/>
  <c r="C140" i="2"/>
  <c r="D140" i="2"/>
  <c r="E140" i="2"/>
  <c r="F140" i="2"/>
  <c r="G140" i="2"/>
  <c r="H140" i="2"/>
  <c r="I140" i="2"/>
  <c r="J140" i="2"/>
  <c r="K140" i="2"/>
  <c r="L140" i="2"/>
  <c r="M140" i="2"/>
  <c r="N140" i="2"/>
  <c r="O140" i="2"/>
  <c r="P140" i="2"/>
  <c r="Q140" i="2"/>
  <c r="R140" i="2"/>
  <c r="S140" i="2"/>
  <c r="T140" i="2"/>
  <c r="U140" i="2"/>
  <c r="V140" i="2"/>
  <c r="W140" i="2"/>
  <c r="X140" i="2"/>
  <c r="Y140" i="2"/>
  <c r="Z140" i="2"/>
  <c r="C141" i="2"/>
  <c r="D141" i="2"/>
  <c r="E141" i="2"/>
  <c r="F141" i="2"/>
  <c r="G141" i="2"/>
  <c r="H141" i="2"/>
  <c r="I141" i="2"/>
  <c r="J141" i="2"/>
  <c r="K141" i="2"/>
  <c r="L141" i="2"/>
  <c r="M141" i="2"/>
  <c r="N141" i="2"/>
  <c r="O141" i="2"/>
  <c r="P141" i="2"/>
  <c r="Q141" i="2"/>
  <c r="R141" i="2"/>
  <c r="S141" i="2"/>
  <c r="T141" i="2"/>
  <c r="U141" i="2"/>
  <c r="V141" i="2"/>
  <c r="W141" i="2"/>
  <c r="X141" i="2"/>
  <c r="Y141" i="2"/>
  <c r="Z141" i="2"/>
  <c r="C142" i="2"/>
  <c r="D142" i="2"/>
  <c r="E142" i="2"/>
  <c r="F142" i="2"/>
  <c r="G142" i="2"/>
  <c r="H142" i="2"/>
  <c r="I142" i="2"/>
  <c r="J142" i="2"/>
  <c r="K142" i="2"/>
  <c r="L142" i="2"/>
  <c r="M142" i="2"/>
  <c r="N142" i="2"/>
  <c r="O142" i="2"/>
  <c r="P142" i="2"/>
  <c r="Q142" i="2"/>
  <c r="R142" i="2"/>
  <c r="S142" i="2"/>
  <c r="T142" i="2"/>
  <c r="U142" i="2"/>
  <c r="V142" i="2"/>
  <c r="W142" i="2"/>
  <c r="X142" i="2"/>
  <c r="Y142" i="2"/>
  <c r="Z142" i="2"/>
  <c r="C143" i="2"/>
  <c r="D143" i="2"/>
  <c r="E143" i="2"/>
  <c r="F143" i="2"/>
  <c r="G143" i="2"/>
  <c r="H143" i="2"/>
  <c r="I143" i="2"/>
  <c r="J143" i="2"/>
  <c r="K143" i="2"/>
  <c r="L143" i="2"/>
  <c r="M143" i="2"/>
  <c r="N143" i="2"/>
  <c r="O143" i="2"/>
  <c r="P143" i="2"/>
  <c r="Q143" i="2"/>
  <c r="R143" i="2"/>
  <c r="S143" i="2"/>
  <c r="T143" i="2"/>
  <c r="U143" i="2"/>
  <c r="V143" i="2"/>
  <c r="W143" i="2"/>
  <c r="X143" i="2"/>
  <c r="Y143" i="2"/>
  <c r="Z143" i="2"/>
  <c r="C144" i="2"/>
  <c r="D144" i="2"/>
  <c r="E144" i="2"/>
  <c r="F144" i="2"/>
  <c r="G144" i="2"/>
  <c r="H144" i="2"/>
  <c r="I144" i="2"/>
  <c r="J144" i="2"/>
  <c r="K144" i="2"/>
  <c r="L144" i="2"/>
  <c r="M144" i="2"/>
  <c r="N144" i="2"/>
  <c r="O144" i="2"/>
  <c r="P144" i="2"/>
  <c r="Q144" i="2"/>
  <c r="R144" i="2"/>
  <c r="S144" i="2"/>
  <c r="T144" i="2"/>
  <c r="U144" i="2"/>
  <c r="V144" i="2"/>
  <c r="W144" i="2"/>
  <c r="X144" i="2"/>
  <c r="Y144" i="2"/>
  <c r="Z144" i="2"/>
  <c r="C145" i="2"/>
  <c r="D145" i="2"/>
  <c r="E145" i="2"/>
  <c r="F145" i="2"/>
  <c r="G145" i="2"/>
  <c r="H145" i="2"/>
  <c r="I145" i="2"/>
  <c r="J145" i="2"/>
  <c r="K145" i="2"/>
  <c r="L145" i="2"/>
  <c r="M145" i="2"/>
  <c r="N145" i="2"/>
  <c r="O145" i="2"/>
  <c r="P145" i="2"/>
  <c r="Q145" i="2"/>
  <c r="R145" i="2"/>
  <c r="S145" i="2"/>
  <c r="T145" i="2"/>
  <c r="U145" i="2"/>
  <c r="V145" i="2"/>
  <c r="W145" i="2"/>
  <c r="X145" i="2"/>
  <c r="Y145" i="2"/>
  <c r="Z145" i="2"/>
  <c r="C146" i="2"/>
  <c r="D146" i="2"/>
  <c r="E146" i="2"/>
  <c r="F146" i="2"/>
  <c r="G146" i="2"/>
  <c r="H146" i="2"/>
  <c r="I146" i="2"/>
  <c r="J146" i="2"/>
  <c r="K146" i="2"/>
  <c r="L146" i="2"/>
  <c r="M146" i="2"/>
  <c r="N146" i="2"/>
  <c r="O146" i="2"/>
  <c r="P146" i="2"/>
  <c r="Q146" i="2"/>
  <c r="R146" i="2"/>
  <c r="S146" i="2"/>
  <c r="T146" i="2"/>
  <c r="U146" i="2"/>
  <c r="V146" i="2"/>
  <c r="W146" i="2"/>
  <c r="X146" i="2"/>
  <c r="Y146" i="2"/>
  <c r="Z146" i="2"/>
  <c r="C147" i="2"/>
  <c r="D147" i="2"/>
  <c r="E147" i="2"/>
  <c r="F147" i="2"/>
  <c r="G147" i="2"/>
  <c r="H147" i="2"/>
  <c r="I147" i="2"/>
  <c r="J147" i="2"/>
  <c r="K147" i="2"/>
  <c r="L147" i="2"/>
  <c r="M147" i="2"/>
  <c r="N147" i="2"/>
  <c r="O147" i="2"/>
  <c r="P147" i="2"/>
  <c r="Q147" i="2"/>
  <c r="R147" i="2"/>
  <c r="S147" i="2"/>
  <c r="T147" i="2"/>
  <c r="U147" i="2"/>
  <c r="V147" i="2"/>
  <c r="W147" i="2"/>
  <c r="X147" i="2"/>
  <c r="Y147" i="2"/>
  <c r="Z147" i="2"/>
  <c r="C148" i="2"/>
  <c r="D148" i="2"/>
  <c r="E148" i="2"/>
  <c r="F148" i="2"/>
  <c r="G148" i="2"/>
  <c r="H148" i="2"/>
  <c r="I148" i="2"/>
  <c r="J148" i="2"/>
  <c r="K148" i="2"/>
  <c r="L148" i="2"/>
  <c r="M148" i="2"/>
  <c r="N148" i="2"/>
  <c r="O148" i="2"/>
  <c r="P148" i="2"/>
  <c r="Q148" i="2"/>
  <c r="R148" i="2"/>
  <c r="S148" i="2"/>
  <c r="T148" i="2"/>
  <c r="U148" i="2"/>
  <c r="V148" i="2"/>
  <c r="W148" i="2"/>
  <c r="X148" i="2"/>
  <c r="Y148" i="2"/>
  <c r="Z148" i="2"/>
  <c r="C149" i="2"/>
  <c r="D149" i="2"/>
  <c r="E149" i="2"/>
  <c r="F149" i="2"/>
  <c r="G149" i="2"/>
  <c r="H149" i="2"/>
  <c r="I149" i="2"/>
  <c r="J149" i="2"/>
  <c r="K149" i="2"/>
  <c r="L149" i="2"/>
  <c r="M149" i="2"/>
  <c r="N149" i="2"/>
  <c r="O149" i="2"/>
  <c r="P149" i="2"/>
  <c r="Q149" i="2"/>
  <c r="R149" i="2"/>
  <c r="S149" i="2"/>
  <c r="T149" i="2"/>
  <c r="U149" i="2"/>
  <c r="V149" i="2"/>
  <c r="W149" i="2"/>
  <c r="X149" i="2"/>
  <c r="Y149" i="2"/>
  <c r="Z149" i="2"/>
  <c r="C150" i="2"/>
  <c r="D150" i="2"/>
  <c r="E150" i="2"/>
  <c r="F150" i="2"/>
  <c r="G150" i="2"/>
  <c r="H150" i="2"/>
  <c r="I150" i="2"/>
  <c r="J150" i="2"/>
  <c r="K150" i="2"/>
  <c r="L150" i="2"/>
  <c r="M150" i="2"/>
  <c r="N150" i="2"/>
  <c r="O150" i="2"/>
  <c r="P150" i="2"/>
  <c r="Q150" i="2"/>
  <c r="R150" i="2"/>
  <c r="S150" i="2"/>
  <c r="T150" i="2"/>
  <c r="U150" i="2"/>
  <c r="V150" i="2"/>
  <c r="W150" i="2"/>
  <c r="X150" i="2"/>
  <c r="Y150" i="2"/>
  <c r="Z150" i="2"/>
  <c r="C151" i="2"/>
  <c r="D151" i="2"/>
  <c r="E151" i="2"/>
  <c r="F151" i="2"/>
  <c r="G151" i="2"/>
  <c r="H151" i="2"/>
  <c r="I151" i="2"/>
  <c r="J151" i="2"/>
  <c r="K151" i="2"/>
  <c r="L151" i="2"/>
  <c r="M151" i="2"/>
  <c r="N151" i="2"/>
  <c r="O151" i="2"/>
  <c r="P151" i="2"/>
  <c r="Q151" i="2"/>
  <c r="R151" i="2"/>
  <c r="S151" i="2"/>
  <c r="T151" i="2"/>
  <c r="U151" i="2"/>
  <c r="V151" i="2"/>
  <c r="W151" i="2"/>
  <c r="X151" i="2"/>
  <c r="Y151" i="2"/>
  <c r="Z151" i="2"/>
  <c r="C152" i="2"/>
  <c r="D152" i="2"/>
  <c r="E152" i="2"/>
  <c r="F152" i="2"/>
  <c r="G152" i="2"/>
  <c r="H152" i="2"/>
  <c r="I152" i="2"/>
  <c r="J152" i="2"/>
  <c r="K152" i="2"/>
  <c r="L152" i="2"/>
  <c r="M152" i="2"/>
  <c r="N152" i="2"/>
  <c r="O152" i="2"/>
  <c r="P152" i="2"/>
  <c r="Q152" i="2"/>
  <c r="R152" i="2"/>
  <c r="S152" i="2"/>
  <c r="T152" i="2"/>
  <c r="U152" i="2"/>
  <c r="V152" i="2"/>
  <c r="W152" i="2"/>
  <c r="X152" i="2"/>
  <c r="Y152" i="2"/>
  <c r="Z152" i="2"/>
  <c r="C153" i="2"/>
  <c r="D153" i="2"/>
  <c r="E153" i="2"/>
  <c r="F153" i="2"/>
  <c r="G153" i="2"/>
  <c r="H153" i="2"/>
  <c r="I153" i="2"/>
  <c r="J153" i="2"/>
  <c r="K153" i="2"/>
  <c r="L153" i="2"/>
  <c r="M153" i="2"/>
  <c r="N153" i="2"/>
  <c r="O153" i="2"/>
  <c r="P153" i="2"/>
  <c r="Q153" i="2"/>
  <c r="R153" i="2"/>
  <c r="S153" i="2"/>
  <c r="T153" i="2"/>
  <c r="U153" i="2"/>
  <c r="V153" i="2"/>
  <c r="W153" i="2"/>
  <c r="X153" i="2"/>
  <c r="Y153" i="2"/>
  <c r="Z153" i="2"/>
  <c r="C154" i="2"/>
  <c r="D154" i="2"/>
  <c r="E154" i="2"/>
  <c r="F154" i="2"/>
  <c r="G154" i="2"/>
  <c r="H154" i="2"/>
  <c r="I154" i="2"/>
  <c r="J154" i="2"/>
  <c r="K154" i="2"/>
  <c r="L154" i="2"/>
  <c r="M154" i="2"/>
  <c r="N154" i="2"/>
  <c r="O154" i="2"/>
  <c r="P154" i="2"/>
  <c r="Q154" i="2"/>
  <c r="R154" i="2"/>
  <c r="S154" i="2"/>
  <c r="T154" i="2"/>
  <c r="U154" i="2"/>
  <c r="V154" i="2"/>
  <c r="W154" i="2"/>
  <c r="X154" i="2"/>
  <c r="Y154" i="2"/>
  <c r="Z154" i="2"/>
  <c r="C155" i="2"/>
  <c r="D155" i="2"/>
  <c r="E155" i="2"/>
  <c r="F155" i="2"/>
  <c r="G155" i="2"/>
  <c r="H155" i="2"/>
  <c r="I155" i="2"/>
  <c r="J155" i="2"/>
  <c r="K155" i="2"/>
  <c r="L155" i="2"/>
  <c r="M155" i="2"/>
  <c r="N155" i="2"/>
  <c r="O155" i="2"/>
  <c r="P155" i="2"/>
  <c r="Q155" i="2"/>
  <c r="R155" i="2"/>
  <c r="S155" i="2"/>
  <c r="T155" i="2"/>
  <c r="U155" i="2"/>
  <c r="V155" i="2"/>
  <c r="W155" i="2"/>
  <c r="X155" i="2"/>
  <c r="Y155" i="2"/>
  <c r="Z155" i="2"/>
  <c r="C156" i="2"/>
  <c r="D156" i="2"/>
  <c r="E156" i="2"/>
  <c r="F156" i="2"/>
  <c r="G156" i="2"/>
  <c r="H156" i="2"/>
  <c r="I156" i="2"/>
  <c r="J156" i="2"/>
  <c r="K156" i="2"/>
  <c r="L156" i="2"/>
  <c r="M156" i="2"/>
  <c r="N156" i="2"/>
  <c r="O156" i="2"/>
  <c r="P156" i="2"/>
  <c r="Q156" i="2"/>
  <c r="R156" i="2"/>
  <c r="S156" i="2"/>
  <c r="T156" i="2"/>
  <c r="U156" i="2"/>
  <c r="V156" i="2"/>
  <c r="W156" i="2"/>
  <c r="X156" i="2"/>
  <c r="Y156" i="2"/>
  <c r="Z156" i="2"/>
  <c r="C157" i="2"/>
  <c r="D157" i="2"/>
  <c r="E157" i="2"/>
  <c r="F157" i="2"/>
  <c r="G157" i="2"/>
  <c r="H157" i="2"/>
  <c r="I157" i="2"/>
  <c r="J157" i="2"/>
  <c r="K157" i="2"/>
  <c r="L157" i="2"/>
  <c r="M157" i="2"/>
  <c r="N157" i="2"/>
  <c r="O157" i="2"/>
  <c r="P157" i="2"/>
  <c r="Q157" i="2"/>
  <c r="R157" i="2"/>
  <c r="S157" i="2"/>
  <c r="T157" i="2"/>
  <c r="U157" i="2"/>
  <c r="V157" i="2"/>
  <c r="W157" i="2"/>
  <c r="X157" i="2"/>
  <c r="Y157" i="2"/>
  <c r="Z157" i="2"/>
  <c r="D91" i="2"/>
  <c r="E91" i="2"/>
  <c r="F91" i="2"/>
  <c r="G91" i="2"/>
  <c r="H91" i="2"/>
  <c r="I91" i="2"/>
  <c r="J91" i="2"/>
  <c r="K91" i="2"/>
  <c r="L91" i="2"/>
  <c r="M91" i="2"/>
  <c r="N91" i="2"/>
  <c r="O91" i="2"/>
  <c r="P91" i="2"/>
  <c r="Q91" i="2"/>
  <c r="R91" i="2"/>
  <c r="S91" i="2"/>
  <c r="T91" i="2"/>
  <c r="U91" i="2"/>
  <c r="V91" i="2"/>
  <c r="W91" i="2"/>
  <c r="X91" i="2"/>
  <c r="Y91" i="2"/>
  <c r="Z91" i="2"/>
  <c r="C91" i="2"/>
  <c r="F170" i="2" l="1"/>
  <c r="G170" i="2"/>
  <c r="J170" i="2"/>
  <c r="L170" i="2"/>
  <c r="M170" i="2"/>
  <c r="N170" i="2"/>
  <c r="O170" i="2"/>
  <c r="P170" i="2"/>
  <c r="Q170" i="2"/>
  <c r="R170" i="2"/>
  <c r="S170" i="2"/>
  <c r="T170" i="2"/>
  <c r="U170" i="2"/>
  <c r="V170" i="2"/>
  <c r="W170" i="2"/>
  <c r="X170" i="2"/>
  <c r="Y170" i="2"/>
  <c r="Z170" i="2"/>
  <c r="C170" i="2"/>
  <c r="D170" i="2"/>
  <c r="E170" i="2"/>
  <c r="H170" i="2"/>
  <c r="I170" i="2"/>
  <c r="AC169" i="2" l="1"/>
  <c r="E171" i="2" s="1"/>
  <c r="K170" i="2"/>
  <c r="C171" i="2" l="1"/>
  <c r="K171" i="2"/>
  <c r="G171" i="2"/>
  <c r="W171" i="2"/>
  <c r="T171" i="2"/>
  <c r="X171" i="2"/>
  <c r="P171" i="2"/>
  <c r="O171" i="2"/>
  <c r="R171" i="2"/>
  <c r="V171" i="2"/>
  <c r="U171" i="2"/>
  <c r="J171" i="2"/>
  <c r="M171" i="2"/>
  <c r="L171" i="2"/>
  <c r="H171" i="2"/>
  <c r="S171" i="2"/>
  <c r="N171" i="2"/>
  <c r="Y171" i="2"/>
  <c r="Q171" i="2"/>
  <c r="Z171" i="2"/>
  <c r="D171" i="2"/>
  <c r="F171" i="2"/>
  <c r="I171" i="2"/>
</calcChain>
</file>

<file path=xl/sharedStrings.xml><?xml version="1.0" encoding="utf-8"?>
<sst xmlns="http://schemas.openxmlformats.org/spreadsheetml/2006/main" count="162" uniqueCount="158">
  <si>
    <t>Measurement Name :</t>
  </si>
  <si>
    <t>plate1</t>
  </si>
  <si>
    <t>Generated On :</t>
  </si>
  <si>
    <t>08/04/2025, 11:32:23</t>
  </si>
  <si>
    <t>Start Date/Time:</t>
  </si>
  <si>
    <t>08/04/2025, 11:12:39</t>
  </si>
  <si>
    <t>End Date/Time:</t>
  </si>
  <si>
    <t>08/04/2025, 11:31:28</t>
  </si>
  <si>
    <t>User Comment :</t>
  </si>
  <si>
    <t>Meas. Created By :</t>
  </si>
  <si>
    <t>admin</t>
  </si>
  <si>
    <t>SDR Serial No. :</t>
  </si>
  <si>
    <t>S-819</t>
  </si>
  <si>
    <t>Report :</t>
  </si>
  <si>
    <t>@m01:IDENTIFICATION
_x000D_Serial number     : SEBX0008000819      
_x000D_MUX channel       : ON - 01
_x000D_
_x000D_PARAMETERS
_x000D_Sig LED current   : 040
_x000D_Ref LED current   : 043
_x000D_Frequency         : 060
_x000D_Sending interval  : 0000
_x000D_Pulse lenght      : 06
_x000D_Red REF comp.     : ON
_x000D_Temperature comp. : ON
_x000D_
_x000D_FIRMWARE
_x000D_ver.4.039.A3.ST   : 04/30/07, 09:14:36
_x000D_@m01:RDY
_x000D_
_x000D_</t>
  </si>
  <si>
    <t>Other Report :</t>
  </si>
  <si>
    <t xml:space="preserve">Start Temperature : _x000D_
End Temperature        : _x000D_
Start Humidity         : _x000D_
End Humidity           : _x000D_
Ref.phase Corre        : 1_x000D_
Dig. Ampl.Factor       : _x000D_
Mod. Coarse Freq.      : _x000D_
Mod. Fine Freq.        : _x000D_
Mod. Shape             : _x000D_
Mono or Stero          : _x000D_
Phase Shift            : _x000D_
Sampling Rate          : _x000D_
Temp. Corr Slop Coef   : _x000D_
</t>
  </si>
  <si>
    <t>Parameter :</t>
  </si>
  <si>
    <t>Oxygen [[%] Air Saturation]</t>
  </si>
  <si>
    <t xml:space="preserve">Batch No.:  </t>
  </si>
  <si>
    <t>PSt5-1624-01_25°C</t>
  </si>
  <si>
    <t>Calibration details for Oxygen</t>
  </si>
  <si>
    <t>O2_cal0 [°]</t>
  </si>
  <si>
    <t>O2_cal2nd [°]</t>
  </si>
  <si>
    <t>O2_T0 [°C]</t>
  </si>
  <si>
    <t>O2_T2nd [°C]</t>
  </si>
  <si>
    <t>O2_patm [mbar]</t>
  </si>
  <si>
    <t>O2_2nd [% a.s.]</t>
  </si>
  <si>
    <t>Date/Time</t>
  </si>
  <si>
    <t>Time/Min.</t>
  </si>
  <si>
    <t>A1</t>
  </si>
  <si>
    <t>B1</t>
  </si>
  <si>
    <t>C1</t>
  </si>
  <si>
    <t>D1</t>
  </si>
  <si>
    <t>A2</t>
  </si>
  <si>
    <t>B2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</si>
  <si>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</si>
  <si>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</si>
  <si>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</si>
  <si>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</si>
  <si>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</si>
  <si>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</si>
  <si>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</si>
  <si>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</si>
  <si>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</si>
  <si>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D4</t>
  </si>
  <si>
    <t>A5</t>
  </si>
  <si>
    <t>B5</t>
  </si>
  <si>
    <t>C5</t>
  </si>
  <si>
    <t>D5</t>
  </si>
  <si>
    <t>A6</t>
  </si>
  <si>
    <t>B6</t>
  </si>
  <si>
    <t>C6</t>
  </si>
  <si>
    <t>D6</t>
  </si>
  <si>
    <t>Tm [°C]</t>
  </si>
  <si>
    <t>p [mbar]</t>
  </si>
  <si>
    <t>Salinity [g/1000g]</t>
  </si>
  <si>
    <t>T_internal [°C]</t>
  </si>
  <si>
    <t>Error</t>
  </si>
  <si>
    <t>08.04.25 11:12:41</t>
  </si>
  <si>
    <t>08.04.25 11:12:56</t>
  </si>
  <si>
    <t>08.04.25 11:13:11</t>
  </si>
  <si>
    <t>08.04.25 11:13:26</t>
  </si>
  <si>
    <t>08.04.25 11:13:42</t>
  </si>
  <si>
    <t>08.04.25 11:13:57</t>
  </si>
  <si>
    <t>08.04.25 11:14:12</t>
  </si>
  <si>
    <t>08.04.25 11:14:27</t>
  </si>
  <si>
    <t>08.04.25 11:14:42</t>
  </si>
  <si>
    <t>08.04.25 11:14:57</t>
  </si>
  <si>
    <t>08.04.25 11:15:12</t>
  </si>
  <si>
    <t>08.04.25 11:15:27</t>
  </si>
  <si>
    <t>08.04.25 11:15:43</t>
  </si>
  <si>
    <t>08.04.25 11:15:58</t>
  </si>
  <si>
    <t>08.04.25 11:16:13</t>
  </si>
  <si>
    <t>08.04.25 11:16:28</t>
  </si>
  <si>
    <t>08.04.25 11:16:43</t>
  </si>
  <si>
    <t>08.04.25 11:16:58</t>
  </si>
  <si>
    <t>08.04.25 11:17:13</t>
  </si>
  <si>
    <t>08.04.25 11:17:28</t>
  </si>
  <si>
    <t>08.04.25 11:17:43</t>
  </si>
  <si>
    <t>08.04.25 11:17:58</t>
  </si>
  <si>
    <t>08.04.25 11:18:14</t>
  </si>
  <si>
    <t>08.04.25 11:18:29</t>
  </si>
  <si>
    <t>08.04.25 11:18:44</t>
  </si>
  <si>
    <t>08.04.25 11:18:59</t>
  </si>
  <si>
    <t>08.04.25 11:19:14</t>
  </si>
  <si>
    <t>08.04.25 11:19:29</t>
  </si>
  <si>
    <t>08.04.25 11:19:44</t>
  </si>
  <si>
    <t>08.04.25 11:19:59</t>
  </si>
  <si>
    <t>08.04.25 11:20:14</t>
  </si>
  <si>
    <t>08.04.25 11:20:29</t>
  </si>
  <si>
    <t>08.04.25 11:20:44</t>
  </si>
  <si>
    <t>08.04.25 11:20:59</t>
  </si>
  <si>
    <t>08.04.25 11:21:14</t>
  </si>
  <si>
    <t>08.04.25 11:21:29</t>
  </si>
  <si>
    <t>08.04.25 11:21:44</t>
  </si>
  <si>
    <t>08.04.25 11:21:59</t>
  </si>
  <si>
    <t>08.04.25 11:22:14</t>
  </si>
  <si>
    <t>08.04.25 11:22:29</t>
  </si>
  <si>
    <t>08.04.25 11:22:44</t>
  </si>
  <si>
    <t>08.04.25 11:22:59</t>
  </si>
  <si>
    <t>08.04.25 11:23:14</t>
  </si>
  <si>
    <t>08.04.25 11:23:29</t>
  </si>
  <si>
    <t>08.04.25 11:23:45</t>
  </si>
  <si>
    <t>08.04.25 11:24:00</t>
  </si>
  <si>
    <t>08.04.25 11:24:15</t>
  </si>
  <si>
    <t>08.04.25 11:24:30</t>
  </si>
  <si>
    <t>08.04.25 11:24:45</t>
  </si>
  <si>
    <t>08.04.25 11:25:00</t>
  </si>
  <si>
    <t>08.04.25 11:25:15</t>
  </si>
  <si>
    <t>08.04.25 11:25:31</t>
  </si>
  <si>
    <t>08.04.25 11:25:45</t>
  </si>
  <si>
    <t>08.04.25 11:26:01</t>
  </si>
  <si>
    <t>08.04.25 11:26:16</t>
  </si>
  <si>
    <t>08.04.25 11:26:31</t>
  </si>
  <si>
    <t>08.04.25 11:26:46</t>
  </si>
  <si>
    <t>08.04.25 11:27:01</t>
  </si>
  <si>
    <t>08.04.25 11:27:16</t>
  </si>
  <si>
    <t>08.04.25 11:27:31</t>
  </si>
  <si>
    <t>08.04.25 11:27:46</t>
  </si>
  <si>
    <t>08.04.25 11:28:01</t>
  </si>
  <si>
    <t>08.04.25 11:28:16</t>
  </si>
  <si>
    <t>08.04.25 11:28:31</t>
  </si>
  <si>
    <t>08.04.25 11:28:46</t>
  </si>
  <si>
    <t>08.04.25 11:29:01</t>
  </si>
  <si>
    <t>08.04.25 11:29:16</t>
  </si>
  <si>
    <t>08.04.25 11:29:31</t>
  </si>
  <si>
    <t>08.04.25 11:29:46</t>
  </si>
  <si>
    <t>08.04.25 11:30:01</t>
  </si>
  <si>
    <t>08.04.25 11:30:17</t>
  </si>
  <si>
    <t>08.04.25 11:30:32</t>
  </si>
  <si>
    <t>08.04.25 11:30:47</t>
  </si>
  <si>
    <t>08.04.25 11:31:02</t>
  </si>
  <si>
    <t>08.04.25 11:31:17</t>
  </si>
  <si>
    <t>plateA_HF_32C_1</t>
  </si>
  <si>
    <t>plateA_NF_32C_4</t>
  </si>
  <si>
    <t>plateA_HF_27C_1</t>
  </si>
  <si>
    <t>plateA_HF_27C_7</t>
  </si>
  <si>
    <t>plateA_HF_32C_2</t>
  </si>
  <si>
    <t>plateA_NF_32C_5</t>
  </si>
  <si>
    <t>plateA_HF_27C_2</t>
  </si>
  <si>
    <t>plateA_HF_27C_8</t>
  </si>
  <si>
    <t>BLANK</t>
  </si>
  <si>
    <t>plateA_NF_32C_6</t>
  </si>
  <si>
    <t>plateA_HF_27C_3</t>
  </si>
  <si>
    <t>plateA_HF_27C_9</t>
  </si>
  <si>
    <t>plateA_NF_32C_1</t>
  </si>
  <si>
    <t>plateA_NF_32C_7</t>
  </si>
  <si>
    <t>plateA_HF_27C_4</t>
  </si>
  <si>
    <t>plateA_HF_27C_10</t>
  </si>
  <si>
    <t>plateA_NF_32C_2</t>
  </si>
  <si>
    <t>plateA_HF_27C_5</t>
  </si>
  <si>
    <t>plateA_NF_32C_3</t>
  </si>
  <si>
    <t>plateA_HF_27C_6</t>
  </si>
  <si>
    <t>Slope</t>
  </si>
  <si>
    <t>Posetiving</t>
  </si>
  <si>
    <t>WithoutBlank</t>
  </si>
  <si>
    <t>BLNK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</si>
</sst>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77"/>
      <scheme val="minor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E6B8AF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CE5CD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5" borderId="1" xfId="0" applyFont="1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7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21BF1-B04D-4E3E-867A-CE6133FA6D94}">
  <sheetPr codeName="Sheet1"/>
  <dimension ref="A1:AF173"/>
  <sheetViews>
    <sheetView tabSelected="1" zoomScale="115" zoomScaleNormal="115" workbookViewId="0">
      <pane ySplit="13" topLeftCell="A154" activePane="bottomLeft" state="frozen"/>
      <selection activeCell="A13" sqref="A13"/>
      <selection pane="bottomLeft" activeCell="H181" sqref="H181"/>
    </sheetView>
  </sheetViews>
  <sheetFormatPr defaultRowHeight="15" x14ac:dyDescent="0.25"/>
  <cols>
    <col min="2" max="2" width="14.5703125" customWidth="1"/>
  </cols>
  <sheetData>
    <row r="1" spans="1:32" hidden="1" x14ac:dyDescent="0.25">
      <c r="A1" t="s">
        <v>0</v>
      </c>
      <c r="B1" t="s">
        <v>1</v>
      </c>
      <c r="D1" t="s">
        <v>2</v>
      </c>
      <c r="E1" t="s">
        <v>3</v>
      </c>
      <c r="H1" t="s">
        <v>21</v>
      </c>
      <c r="K1" t="s">
        <v>13</v>
      </c>
      <c r="L1" t="s">
        <v>14</v>
      </c>
      <c r="N1" t="s">
        <v>15</v>
      </c>
      <c r="O1" t="s">
        <v>16</v>
      </c>
    </row>
    <row r="2" spans="1:32" hidden="1" x14ac:dyDescent="0.25">
      <c r="A2" t="s">
        <v>4</v>
      </c>
      <c r="B2" t="s">
        <v>5</v>
      </c>
      <c r="H2" t="s">
        <v>19</v>
      </c>
      <c r="I2" t="s">
        <v>20</v>
      </c>
    </row>
    <row r="3" spans="1:32" hidden="1" x14ac:dyDescent="0.25">
      <c r="A3" t="s">
        <v>6</v>
      </c>
      <c r="B3" t="s">
        <v>7</v>
      </c>
      <c r="H3" t="s">
        <v>22</v>
      </c>
      <c r="I3">
        <v>54.76</v>
      </c>
    </row>
    <row r="4" spans="1:32" hidden="1" x14ac:dyDescent="0.25">
      <c r="A4" t="s">
        <v>8</v>
      </c>
      <c r="B4">
        <v>0</v>
      </c>
      <c r="D4" t="s">
        <v>9</v>
      </c>
      <c r="E4" t="s">
        <v>10</v>
      </c>
      <c r="H4" t="s">
        <v>23</v>
      </c>
      <c r="I4">
        <v>47.47</v>
      </c>
    </row>
    <row r="5" spans="1:32" hidden="1" x14ac:dyDescent="0.25">
      <c r="A5" t="s">
        <v>11</v>
      </c>
      <c r="B5" t="s">
        <v>12</v>
      </c>
      <c r="H5" t="s">
        <v>24</v>
      </c>
      <c r="I5">
        <v>24.8</v>
      </c>
    </row>
    <row r="6" spans="1:32" hidden="1" x14ac:dyDescent="0.25">
      <c r="A6" t="s">
        <v>17</v>
      </c>
      <c r="B6" t="s">
        <v>18</v>
      </c>
      <c r="H6" t="s">
        <v>25</v>
      </c>
      <c r="I6">
        <v>24.8</v>
      </c>
    </row>
    <row r="7" spans="1:32" hidden="1" x14ac:dyDescent="0.25">
      <c r="H7" t="s">
        <v>26</v>
      </c>
      <c r="I7">
        <v>965</v>
      </c>
    </row>
    <row r="8" spans="1:32" hidden="1" x14ac:dyDescent="0.25">
      <c r="H8" t="s">
        <v>27</v>
      </c>
      <c r="I8">
        <v>100</v>
      </c>
    </row>
    <row r="9" spans="1:32" hidden="1" x14ac:dyDescent="0.25"/>
    <row r="10" spans="1:32" hidden="1" x14ac:dyDescent="0.25"/>
    <row r="11" spans="1:32" hidden="1" x14ac:dyDescent="0.25"/>
    <row r="12" spans="1:32" hidden="1" x14ac:dyDescent="0.25"/>
    <row r="13" spans="1:32" x14ac:dyDescent="0.25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s">
        <v>36</v>
      </c>
      <c r="J13" t="s">
        <v>37</v>
      </c>
      <c r="K13" t="s">
        <v>38</v>
      </c>
      <c r="L13" t="s">
        <v>39</v>
      </c>
      <c r="M13" t="s">
        <v>40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47</v>
      </c>
      <c r="U13" t="s">
        <v>48</v>
      </c>
      <c r="V13" t="s">
        <v>49</v>
      </c>
      <c r="W13" t="s">
        <v>50</v>
      </c>
      <c r="X13" t="s">
        <v>51</v>
      </c>
      <c r="Y13" t="s">
        <v>52</v>
      </c>
      <c r="Z13" t="s">
        <v>53</v>
      </c>
      <c r="AB13" t="s">
        <v>54</v>
      </c>
      <c r="AC13" t="s">
        <v>55</v>
      </c>
      <c r="AD13" t="s">
        <v>56</v>
      </c>
      <c r="AE13" t="s">
        <v>57</v>
      </c>
      <c r="AF13" t="s">
        <v>58</v>
      </c>
    </row>
    <row r="14" spans="1:32" x14ac:dyDescent="0.25">
      <c r="A14" t="s">
        <v>59</v>
      </c>
      <c r="B14">
        <v>0.03</v>
      </c>
      <c r="C14">
        <v>98.06</v>
      </c>
      <c r="D14">
        <v>97.74</v>
      </c>
      <c r="E14">
        <v>94.72</v>
      </c>
      <c r="F14">
        <v>93.13</v>
      </c>
      <c r="G14">
        <v>91.72</v>
      </c>
      <c r="H14">
        <v>98.86</v>
      </c>
      <c r="I14">
        <v>98.38</v>
      </c>
      <c r="J14">
        <v>99.67</v>
      </c>
      <c r="K14">
        <v>96.62</v>
      </c>
      <c r="L14">
        <v>98.06</v>
      </c>
      <c r="M14">
        <v>92.66</v>
      </c>
      <c r="N14">
        <v>99.02</v>
      </c>
      <c r="O14">
        <v>98.22</v>
      </c>
      <c r="P14">
        <v>99.99</v>
      </c>
      <c r="Q14">
        <v>98.06</v>
      </c>
      <c r="R14">
        <v>99.02</v>
      </c>
      <c r="S14">
        <v>97.9</v>
      </c>
      <c r="T14">
        <v>98.54</v>
      </c>
      <c r="U14">
        <v>89.68</v>
      </c>
      <c r="V14">
        <v>99.18</v>
      </c>
      <c r="W14">
        <v>97.42</v>
      </c>
      <c r="X14">
        <v>98.22</v>
      </c>
      <c r="Y14">
        <v>94.56</v>
      </c>
      <c r="Z14">
        <v>98.7</v>
      </c>
      <c r="AB14">
        <v>23</v>
      </c>
      <c r="AC14">
        <v>965</v>
      </c>
      <c r="AD14">
        <v>39</v>
      </c>
      <c r="AE14">
        <v>22.09</v>
      </c>
    </row>
    <row r="15" spans="1:32" x14ac:dyDescent="0.25">
      <c r="A15" t="s">
        <v>60</v>
      </c>
      <c r="B15">
        <v>0.28000000000000003</v>
      </c>
      <c r="C15">
        <v>98.38</v>
      </c>
      <c r="D15">
        <v>98.06</v>
      </c>
      <c r="E15">
        <v>94.72</v>
      </c>
      <c r="F15">
        <v>92.5</v>
      </c>
      <c r="G15">
        <v>92.03</v>
      </c>
      <c r="H15">
        <v>99.02</v>
      </c>
      <c r="I15">
        <v>98.54</v>
      </c>
      <c r="J15">
        <v>99.83</v>
      </c>
      <c r="K15">
        <v>96.94</v>
      </c>
      <c r="L15">
        <v>98.06</v>
      </c>
      <c r="M15">
        <v>92.98</v>
      </c>
      <c r="N15">
        <v>99.18</v>
      </c>
      <c r="O15">
        <v>98.38</v>
      </c>
      <c r="P15">
        <v>100.15</v>
      </c>
      <c r="Q15">
        <v>98.06</v>
      </c>
      <c r="R15">
        <v>98.7</v>
      </c>
      <c r="S15">
        <v>97.58</v>
      </c>
      <c r="T15">
        <v>98.7</v>
      </c>
      <c r="U15">
        <v>89.68</v>
      </c>
      <c r="V15">
        <v>98.86</v>
      </c>
      <c r="W15">
        <v>97.26</v>
      </c>
      <c r="X15">
        <v>98.06</v>
      </c>
      <c r="Y15">
        <v>94.24</v>
      </c>
      <c r="Z15">
        <v>99.02</v>
      </c>
      <c r="AB15">
        <v>23</v>
      </c>
      <c r="AC15">
        <v>965</v>
      </c>
      <c r="AD15">
        <v>39</v>
      </c>
      <c r="AE15">
        <v>22.11</v>
      </c>
    </row>
    <row r="16" spans="1:32" x14ac:dyDescent="0.25">
      <c r="A16" t="s">
        <v>61</v>
      </c>
      <c r="B16">
        <v>0.53</v>
      </c>
      <c r="C16">
        <v>98.22</v>
      </c>
      <c r="D16">
        <v>97.9</v>
      </c>
      <c r="E16">
        <v>94.4</v>
      </c>
      <c r="F16">
        <v>91.72</v>
      </c>
      <c r="G16">
        <v>92.35</v>
      </c>
      <c r="H16">
        <v>98.86</v>
      </c>
      <c r="I16">
        <v>98.54</v>
      </c>
      <c r="J16">
        <v>99.51</v>
      </c>
      <c r="K16">
        <v>96.78</v>
      </c>
      <c r="L16">
        <v>98.06</v>
      </c>
      <c r="M16">
        <v>92.66</v>
      </c>
      <c r="N16">
        <v>99.02</v>
      </c>
      <c r="O16">
        <v>97.9</v>
      </c>
      <c r="P16">
        <v>99.83</v>
      </c>
      <c r="Q16">
        <v>97.58</v>
      </c>
      <c r="R16">
        <v>99.02</v>
      </c>
      <c r="S16">
        <v>97.58</v>
      </c>
      <c r="T16">
        <v>98.54</v>
      </c>
      <c r="U16">
        <v>89.52</v>
      </c>
      <c r="V16">
        <v>98.86</v>
      </c>
      <c r="W16">
        <v>97.1</v>
      </c>
      <c r="X16">
        <v>98.22</v>
      </c>
      <c r="Y16">
        <v>93.92</v>
      </c>
      <c r="Z16">
        <v>98.86</v>
      </c>
      <c r="AB16">
        <v>23</v>
      </c>
      <c r="AC16">
        <v>965</v>
      </c>
      <c r="AD16">
        <v>39</v>
      </c>
      <c r="AE16">
        <v>22.13</v>
      </c>
    </row>
    <row r="17" spans="1:31" x14ac:dyDescent="0.25">
      <c r="A17" t="s">
        <v>62</v>
      </c>
      <c r="B17">
        <v>0.78</v>
      </c>
      <c r="C17">
        <v>98.06</v>
      </c>
      <c r="D17">
        <v>97.74</v>
      </c>
      <c r="E17">
        <v>94.08</v>
      </c>
      <c r="F17">
        <v>91.24</v>
      </c>
      <c r="G17">
        <v>92.35</v>
      </c>
      <c r="H17">
        <v>99.02</v>
      </c>
      <c r="I17">
        <v>98.7</v>
      </c>
      <c r="J17">
        <v>99.34</v>
      </c>
      <c r="K17">
        <v>96.78</v>
      </c>
      <c r="L17">
        <v>98.38</v>
      </c>
      <c r="M17">
        <v>92.35</v>
      </c>
      <c r="N17">
        <v>99.02</v>
      </c>
      <c r="O17">
        <v>98.22</v>
      </c>
      <c r="P17">
        <v>99.67</v>
      </c>
      <c r="Q17">
        <v>97.74</v>
      </c>
      <c r="R17">
        <v>99.02</v>
      </c>
      <c r="S17">
        <v>97.9</v>
      </c>
      <c r="T17">
        <v>98.54</v>
      </c>
      <c r="U17">
        <v>89.21</v>
      </c>
      <c r="V17">
        <v>98.86</v>
      </c>
      <c r="W17">
        <v>97.26</v>
      </c>
      <c r="X17">
        <v>98.38</v>
      </c>
      <c r="Y17">
        <v>93.77</v>
      </c>
      <c r="Z17">
        <v>98.86</v>
      </c>
      <c r="AB17">
        <v>23</v>
      </c>
      <c r="AC17">
        <v>965</v>
      </c>
      <c r="AD17">
        <v>39</v>
      </c>
      <c r="AE17">
        <v>22.13</v>
      </c>
    </row>
    <row r="18" spans="1:31" x14ac:dyDescent="0.25">
      <c r="A18" t="s">
        <v>63</v>
      </c>
      <c r="B18">
        <v>1.05</v>
      </c>
      <c r="C18">
        <v>98.22</v>
      </c>
      <c r="D18">
        <v>97.9</v>
      </c>
      <c r="E18">
        <v>93.92</v>
      </c>
      <c r="F18">
        <v>90.62</v>
      </c>
      <c r="G18">
        <v>92.19</v>
      </c>
      <c r="H18">
        <v>98.86</v>
      </c>
      <c r="I18">
        <v>98.22</v>
      </c>
      <c r="J18">
        <v>99.51</v>
      </c>
      <c r="K18">
        <v>96.94</v>
      </c>
      <c r="L18">
        <v>98.54</v>
      </c>
      <c r="M18">
        <v>92.35</v>
      </c>
      <c r="N18">
        <v>98.7</v>
      </c>
      <c r="O18">
        <v>98.54</v>
      </c>
      <c r="P18">
        <v>99.99</v>
      </c>
      <c r="Q18">
        <v>97.74</v>
      </c>
      <c r="R18">
        <v>98.86</v>
      </c>
      <c r="S18">
        <v>98.22</v>
      </c>
      <c r="T18">
        <v>98.54</v>
      </c>
      <c r="U18">
        <v>89.68</v>
      </c>
      <c r="V18">
        <v>98.86</v>
      </c>
      <c r="W18">
        <v>97.26</v>
      </c>
      <c r="X18">
        <v>97.9</v>
      </c>
      <c r="Y18">
        <v>93.77</v>
      </c>
      <c r="Z18">
        <v>98.86</v>
      </c>
      <c r="AB18">
        <v>23</v>
      </c>
      <c r="AC18">
        <v>965</v>
      </c>
      <c r="AD18">
        <v>39</v>
      </c>
      <c r="AE18">
        <v>22.15</v>
      </c>
    </row>
    <row r="19" spans="1:31" x14ac:dyDescent="0.25">
      <c r="A19" t="s">
        <v>64</v>
      </c>
      <c r="B19">
        <v>1.3</v>
      </c>
      <c r="C19">
        <v>98.22</v>
      </c>
      <c r="D19">
        <v>97.74</v>
      </c>
      <c r="E19">
        <v>94.24</v>
      </c>
      <c r="F19">
        <v>89.99</v>
      </c>
      <c r="G19">
        <v>91.72</v>
      </c>
      <c r="H19">
        <v>99.18</v>
      </c>
      <c r="I19">
        <v>98.38</v>
      </c>
      <c r="J19">
        <v>99.51</v>
      </c>
      <c r="K19">
        <v>96.94</v>
      </c>
      <c r="L19">
        <v>98.22</v>
      </c>
      <c r="M19">
        <v>92.03</v>
      </c>
      <c r="N19">
        <v>99.02</v>
      </c>
      <c r="O19">
        <v>98.38</v>
      </c>
      <c r="P19">
        <v>99.83</v>
      </c>
      <c r="Q19">
        <v>98.06</v>
      </c>
      <c r="R19">
        <v>98.86</v>
      </c>
      <c r="S19">
        <v>98.22</v>
      </c>
      <c r="T19">
        <v>98.7</v>
      </c>
      <c r="U19">
        <v>89.21</v>
      </c>
      <c r="V19">
        <v>99.02</v>
      </c>
      <c r="W19">
        <v>97.26</v>
      </c>
      <c r="X19">
        <v>97.9</v>
      </c>
      <c r="Y19">
        <v>93.45</v>
      </c>
      <c r="Z19">
        <v>98.7</v>
      </c>
      <c r="AB19">
        <v>23</v>
      </c>
      <c r="AC19">
        <v>965</v>
      </c>
      <c r="AD19">
        <v>39</v>
      </c>
      <c r="AE19">
        <v>22.16</v>
      </c>
    </row>
    <row r="20" spans="1:31" x14ac:dyDescent="0.25">
      <c r="A20" t="s">
        <v>65</v>
      </c>
      <c r="B20">
        <v>1.55</v>
      </c>
      <c r="C20">
        <v>98.22</v>
      </c>
      <c r="D20">
        <v>97.9</v>
      </c>
      <c r="E20">
        <v>94.08</v>
      </c>
      <c r="F20">
        <v>89.68</v>
      </c>
      <c r="G20">
        <v>92.03</v>
      </c>
      <c r="H20">
        <v>98.86</v>
      </c>
      <c r="I20">
        <v>98.38</v>
      </c>
      <c r="J20">
        <v>99.51</v>
      </c>
      <c r="K20">
        <v>96.94</v>
      </c>
      <c r="L20">
        <v>98.22</v>
      </c>
      <c r="M20">
        <v>92.03</v>
      </c>
      <c r="N20">
        <v>99.02</v>
      </c>
      <c r="O20">
        <v>97.9</v>
      </c>
      <c r="P20">
        <v>100.31</v>
      </c>
      <c r="Q20">
        <v>97.74</v>
      </c>
      <c r="R20">
        <v>99.02</v>
      </c>
      <c r="S20">
        <v>98.06</v>
      </c>
      <c r="T20">
        <v>98.7</v>
      </c>
      <c r="U20">
        <v>89.21</v>
      </c>
      <c r="V20">
        <v>98.86</v>
      </c>
      <c r="W20">
        <v>96.94</v>
      </c>
      <c r="X20">
        <v>97.74</v>
      </c>
      <c r="Y20">
        <v>92.82</v>
      </c>
      <c r="Z20">
        <v>98.7</v>
      </c>
      <c r="AB20">
        <v>23</v>
      </c>
      <c r="AC20">
        <v>965</v>
      </c>
      <c r="AD20">
        <v>39</v>
      </c>
      <c r="AE20">
        <v>22.17</v>
      </c>
    </row>
    <row r="21" spans="1:31" x14ac:dyDescent="0.25">
      <c r="A21" t="s">
        <v>66</v>
      </c>
      <c r="B21">
        <v>1.8</v>
      </c>
      <c r="C21">
        <v>98.06</v>
      </c>
      <c r="D21">
        <v>97.9</v>
      </c>
      <c r="E21">
        <v>93.92</v>
      </c>
      <c r="F21">
        <v>88.43</v>
      </c>
      <c r="G21">
        <v>91.87</v>
      </c>
      <c r="H21">
        <v>98.86</v>
      </c>
      <c r="I21">
        <v>98.22</v>
      </c>
      <c r="J21">
        <v>99.34</v>
      </c>
      <c r="K21">
        <v>96.94</v>
      </c>
      <c r="L21">
        <v>97.9</v>
      </c>
      <c r="M21">
        <v>91.87</v>
      </c>
      <c r="N21">
        <v>99.02</v>
      </c>
      <c r="O21">
        <v>98.22</v>
      </c>
      <c r="P21">
        <v>100.15</v>
      </c>
      <c r="Q21">
        <v>97.42</v>
      </c>
      <c r="R21">
        <v>98.86</v>
      </c>
      <c r="S21">
        <v>97.74</v>
      </c>
      <c r="T21">
        <v>98.7</v>
      </c>
      <c r="U21">
        <v>89.05</v>
      </c>
      <c r="V21">
        <v>98.86</v>
      </c>
      <c r="W21">
        <v>97.1</v>
      </c>
      <c r="X21">
        <v>98.22</v>
      </c>
      <c r="Y21">
        <v>92.82</v>
      </c>
      <c r="Z21">
        <v>98.86</v>
      </c>
      <c r="AB21">
        <v>23</v>
      </c>
      <c r="AC21">
        <v>965</v>
      </c>
      <c r="AD21">
        <v>39</v>
      </c>
      <c r="AE21">
        <v>22.18</v>
      </c>
    </row>
    <row r="22" spans="1:31" x14ac:dyDescent="0.25">
      <c r="A22" t="s">
        <v>67</v>
      </c>
      <c r="B22">
        <v>2.0499999999999998</v>
      </c>
      <c r="C22">
        <v>98.22</v>
      </c>
      <c r="D22">
        <v>98.22</v>
      </c>
      <c r="E22">
        <v>93.92</v>
      </c>
      <c r="F22">
        <v>88.58</v>
      </c>
      <c r="G22">
        <v>92.35</v>
      </c>
      <c r="H22">
        <v>98.86</v>
      </c>
      <c r="I22">
        <v>98.22</v>
      </c>
      <c r="J22">
        <v>99.34</v>
      </c>
      <c r="K22">
        <v>96.94</v>
      </c>
      <c r="L22">
        <v>98.38</v>
      </c>
      <c r="M22">
        <v>91.72</v>
      </c>
      <c r="N22">
        <v>99.34</v>
      </c>
      <c r="O22">
        <v>98.54</v>
      </c>
      <c r="P22">
        <v>99.99</v>
      </c>
      <c r="Q22">
        <v>97.74</v>
      </c>
      <c r="R22">
        <v>99.02</v>
      </c>
      <c r="S22">
        <v>97.9</v>
      </c>
      <c r="T22">
        <v>98.54</v>
      </c>
      <c r="U22">
        <v>89.05</v>
      </c>
      <c r="V22">
        <v>99.18</v>
      </c>
      <c r="W22">
        <v>96.94</v>
      </c>
      <c r="X22">
        <v>97.74</v>
      </c>
      <c r="Y22">
        <v>93.29</v>
      </c>
      <c r="Z22">
        <v>98.54</v>
      </c>
      <c r="AB22">
        <v>23</v>
      </c>
      <c r="AC22">
        <v>965</v>
      </c>
      <c r="AD22">
        <v>39</v>
      </c>
      <c r="AE22">
        <v>22.2</v>
      </c>
    </row>
    <row r="23" spans="1:31" x14ac:dyDescent="0.25">
      <c r="A23" t="s">
        <v>68</v>
      </c>
      <c r="B23">
        <v>2.2999999999999998</v>
      </c>
      <c r="C23">
        <v>98.06</v>
      </c>
      <c r="D23">
        <v>97.74</v>
      </c>
      <c r="E23">
        <v>93.61</v>
      </c>
      <c r="F23">
        <v>88.12</v>
      </c>
      <c r="G23">
        <v>91.72</v>
      </c>
      <c r="H23">
        <v>99.02</v>
      </c>
      <c r="I23">
        <v>98.38</v>
      </c>
      <c r="J23">
        <v>99.51</v>
      </c>
      <c r="K23">
        <v>96.62</v>
      </c>
      <c r="L23">
        <v>97.74</v>
      </c>
      <c r="M23">
        <v>92.03</v>
      </c>
      <c r="N23">
        <v>98.86</v>
      </c>
      <c r="O23">
        <v>98.06</v>
      </c>
      <c r="P23">
        <v>99.83</v>
      </c>
      <c r="Q23">
        <v>97.42</v>
      </c>
      <c r="R23">
        <v>99.02</v>
      </c>
      <c r="S23">
        <v>97.58</v>
      </c>
      <c r="T23">
        <v>98.38</v>
      </c>
      <c r="U23">
        <v>88.9</v>
      </c>
      <c r="V23">
        <v>98.54</v>
      </c>
      <c r="W23">
        <v>97.1</v>
      </c>
      <c r="X23">
        <v>98.06</v>
      </c>
      <c r="Y23">
        <v>92.35</v>
      </c>
      <c r="Z23">
        <v>98.54</v>
      </c>
      <c r="AB23">
        <v>23</v>
      </c>
      <c r="AC23">
        <v>965</v>
      </c>
      <c r="AD23">
        <v>39</v>
      </c>
      <c r="AE23">
        <v>22.2</v>
      </c>
    </row>
    <row r="24" spans="1:31" x14ac:dyDescent="0.25">
      <c r="A24" t="s">
        <v>69</v>
      </c>
      <c r="B24">
        <v>2.5499999999999998</v>
      </c>
      <c r="C24">
        <v>98.06</v>
      </c>
      <c r="D24">
        <v>97.9</v>
      </c>
      <c r="E24">
        <v>93.45</v>
      </c>
      <c r="F24">
        <v>87.65</v>
      </c>
      <c r="G24">
        <v>91.72</v>
      </c>
      <c r="H24">
        <v>99.18</v>
      </c>
      <c r="I24">
        <v>98.22</v>
      </c>
      <c r="J24">
        <v>99.51</v>
      </c>
      <c r="K24">
        <v>96.94</v>
      </c>
      <c r="L24">
        <v>98.06</v>
      </c>
      <c r="M24">
        <v>91.56</v>
      </c>
      <c r="N24">
        <v>98.86</v>
      </c>
      <c r="O24">
        <v>98.06</v>
      </c>
      <c r="P24">
        <v>99.99</v>
      </c>
      <c r="Q24">
        <v>97.58</v>
      </c>
      <c r="R24">
        <v>99.02</v>
      </c>
      <c r="S24">
        <v>97.9</v>
      </c>
      <c r="T24">
        <v>98.54</v>
      </c>
      <c r="U24">
        <v>88.58</v>
      </c>
      <c r="V24">
        <v>98.86</v>
      </c>
      <c r="W24">
        <v>96.94</v>
      </c>
      <c r="X24">
        <v>98.06</v>
      </c>
      <c r="Y24">
        <v>92.66</v>
      </c>
      <c r="Z24">
        <v>98.7</v>
      </c>
      <c r="AB24">
        <v>23</v>
      </c>
      <c r="AC24">
        <v>965</v>
      </c>
      <c r="AD24">
        <v>39</v>
      </c>
      <c r="AE24">
        <v>22.2</v>
      </c>
    </row>
    <row r="25" spans="1:31" x14ac:dyDescent="0.25">
      <c r="A25" t="s">
        <v>70</v>
      </c>
      <c r="B25">
        <v>2.8</v>
      </c>
      <c r="C25">
        <v>98.22</v>
      </c>
      <c r="D25">
        <v>97.74</v>
      </c>
      <c r="E25">
        <v>93.61</v>
      </c>
      <c r="F25">
        <v>87.34</v>
      </c>
      <c r="G25">
        <v>91.72</v>
      </c>
      <c r="H25">
        <v>99.18</v>
      </c>
      <c r="I25">
        <v>98.54</v>
      </c>
      <c r="J25">
        <v>99.34</v>
      </c>
      <c r="K25">
        <v>96.62</v>
      </c>
      <c r="L25">
        <v>98.22</v>
      </c>
      <c r="M25">
        <v>91.24</v>
      </c>
      <c r="N25">
        <v>98.7</v>
      </c>
      <c r="O25">
        <v>98.22</v>
      </c>
      <c r="P25">
        <v>99.83</v>
      </c>
      <c r="Q25">
        <v>97.58</v>
      </c>
      <c r="R25">
        <v>98.54</v>
      </c>
      <c r="S25">
        <v>97.9</v>
      </c>
      <c r="T25">
        <v>98.54</v>
      </c>
      <c r="U25">
        <v>88.58</v>
      </c>
      <c r="V25">
        <v>99.02</v>
      </c>
      <c r="W25">
        <v>97.1</v>
      </c>
      <c r="X25">
        <v>98.06</v>
      </c>
      <c r="Y25">
        <v>92.19</v>
      </c>
      <c r="Z25">
        <v>98.86</v>
      </c>
      <c r="AB25">
        <v>23</v>
      </c>
      <c r="AC25">
        <v>965</v>
      </c>
      <c r="AD25">
        <v>39</v>
      </c>
      <c r="AE25">
        <v>22.2</v>
      </c>
    </row>
    <row r="26" spans="1:31" x14ac:dyDescent="0.25">
      <c r="A26" t="s">
        <v>71</v>
      </c>
      <c r="B26">
        <v>3.07</v>
      </c>
      <c r="C26">
        <v>98.06</v>
      </c>
      <c r="D26">
        <v>97.74</v>
      </c>
      <c r="E26">
        <v>93.29</v>
      </c>
      <c r="F26">
        <v>87.03</v>
      </c>
      <c r="G26">
        <v>91.87</v>
      </c>
      <c r="H26">
        <v>99.18</v>
      </c>
      <c r="I26">
        <v>98.22</v>
      </c>
      <c r="J26">
        <v>99.51</v>
      </c>
      <c r="K26">
        <v>96.78</v>
      </c>
      <c r="L26">
        <v>98.06</v>
      </c>
      <c r="M26">
        <v>91.24</v>
      </c>
      <c r="N26">
        <v>98.7</v>
      </c>
      <c r="O26">
        <v>98.38</v>
      </c>
      <c r="P26">
        <v>99.99</v>
      </c>
      <c r="Q26">
        <v>97.26</v>
      </c>
      <c r="R26">
        <v>98.86</v>
      </c>
      <c r="S26">
        <v>97.9</v>
      </c>
      <c r="T26">
        <v>98.54</v>
      </c>
      <c r="U26">
        <v>88.74</v>
      </c>
      <c r="V26">
        <v>98.54</v>
      </c>
      <c r="W26">
        <v>96.94</v>
      </c>
      <c r="X26">
        <v>97.9</v>
      </c>
      <c r="Y26">
        <v>91.87</v>
      </c>
      <c r="Z26">
        <v>98.7</v>
      </c>
      <c r="AB26">
        <v>23</v>
      </c>
      <c r="AC26">
        <v>965</v>
      </c>
      <c r="AD26">
        <v>39</v>
      </c>
      <c r="AE26">
        <v>22.22</v>
      </c>
    </row>
    <row r="27" spans="1:31" x14ac:dyDescent="0.25">
      <c r="A27" t="s">
        <v>72</v>
      </c>
      <c r="B27">
        <v>3.32</v>
      </c>
      <c r="C27">
        <v>98.06</v>
      </c>
      <c r="D27">
        <v>97.9</v>
      </c>
      <c r="E27">
        <v>93.45</v>
      </c>
      <c r="F27">
        <v>86.41</v>
      </c>
      <c r="G27">
        <v>91.72</v>
      </c>
      <c r="H27">
        <v>99.02</v>
      </c>
      <c r="I27">
        <v>98.06</v>
      </c>
      <c r="J27">
        <v>99.67</v>
      </c>
      <c r="K27">
        <v>96.94</v>
      </c>
      <c r="L27">
        <v>98.06</v>
      </c>
      <c r="M27">
        <v>90.77</v>
      </c>
      <c r="N27">
        <v>98.86</v>
      </c>
      <c r="O27">
        <v>98.22</v>
      </c>
      <c r="P27">
        <v>99.99</v>
      </c>
      <c r="Q27">
        <v>97.26</v>
      </c>
      <c r="R27">
        <v>98.7</v>
      </c>
      <c r="S27">
        <v>97.74</v>
      </c>
      <c r="T27">
        <v>98.54</v>
      </c>
      <c r="U27">
        <v>88.27</v>
      </c>
      <c r="V27">
        <v>99.02</v>
      </c>
      <c r="W27">
        <v>96.78</v>
      </c>
      <c r="X27">
        <v>98.06</v>
      </c>
      <c r="Y27">
        <v>92.03</v>
      </c>
      <c r="Z27">
        <v>98.54</v>
      </c>
      <c r="AB27">
        <v>23</v>
      </c>
      <c r="AC27">
        <v>965</v>
      </c>
      <c r="AD27">
        <v>39</v>
      </c>
      <c r="AE27">
        <v>22.22</v>
      </c>
    </row>
    <row r="28" spans="1:31" x14ac:dyDescent="0.25">
      <c r="A28" t="s">
        <v>73</v>
      </c>
      <c r="B28">
        <v>3.57</v>
      </c>
      <c r="C28">
        <v>98.06</v>
      </c>
      <c r="D28">
        <v>97.58</v>
      </c>
      <c r="E28">
        <v>93.29</v>
      </c>
      <c r="F28">
        <v>86.1</v>
      </c>
      <c r="G28">
        <v>91.87</v>
      </c>
      <c r="H28">
        <v>98.86</v>
      </c>
      <c r="I28">
        <v>98.38</v>
      </c>
      <c r="J28">
        <v>99.51</v>
      </c>
      <c r="K28">
        <v>96.78</v>
      </c>
      <c r="L28">
        <v>98.22</v>
      </c>
      <c r="M28">
        <v>90.77</v>
      </c>
      <c r="N28">
        <v>98.86</v>
      </c>
      <c r="O28">
        <v>98.22</v>
      </c>
      <c r="P28">
        <v>99.83</v>
      </c>
      <c r="Q28">
        <v>97.26</v>
      </c>
      <c r="R28">
        <v>98.7</v>
      </c>
      <c r="S28">
        <v>98.06</v>
      </c>
      <c r="T28">
        <v>98.7</v>
      </c>
      <c r="U28">
        <v>88.12</v>
      </c>
      <c r="V28">
        <v>98.7</v>
      </c>
      <c r="W28">
        <v>97.1</v>
      </c>
      <c r="X28">
        <v>98.06</v>
      </c>
      <c r="Y28">
        <v>91.87</v>
      </c>
      <c r="Z28">
        <v>98.38</v>
      </c>
      <c r="AB28">
        <v>23</v>
      </c>
      <c r="AC28">
        <v>965</v>
      </c>
      <c r="AD28">
        <v>39</v>
      </c>
      <c r="AE28">
        <v>22.22</v>
      </c>
    </row>
    <row r="29" spans="1:31" x14ac:dyDescent="0.25">
      <c r="A29" t="s">
        <v>74</v>
      </c>
      <c r="B29">
        <v>3.82</v>
      </c>
      <c r="C29">
        <v>97.9</v>
      </c>
      <c r="D29">
        <v>97.42</v>
      </c>
      <c r="E29">
        <v>92.98</v>
      </c>
      <c r="F29">
        <v>85.94</v>
      </c>
      <c r="G29">
        <v>91.56</v>
      </c>
      <c r="H29">
        <v>98.7</v>
      </c>
      <c r="I29">
        <v>98.22</v>
      </c>
      <c r="J29">
        <v>99.18</v>
      </c>
      <c r="K29">
        <v>96.78</v>
      </c>
      <c r="L29">
        <v>98.06</v>
      </c>
      <c r="M29">
        <v>90.93</v>
      </c>
      <c r="N29">
        <v>98.7</v>
      </c>
      <c r="O29">
        <v>98.22</v>
      </c>
      <c r="P29">
        <v>99.67</v>
      </c>
      <c r="Q29">
        <v>97.42</v>
      </c>
      <c r="R29">
        <v>98.86</v>
      </c>
      <c r="S29">
        <v>97.58</v>
      </c>
      <c r="T29">
        <v>98.38</v>
      </c>
      <c r="U29">
        <v>88.27</v>
      </c>
      <c r="V29">
        <v>98.86</v>
      </c>
      <c r="W29">
        <v>96.78</v>
      </c>
      <c r="X29">
        <v>97.9</v>
      </c>
      <c r="Y29">
        <v>91.72</v>
      </c>
      <c r="Z29">
        <v>98.54</v>
      </c>
      <c r="AB29">
        <v>23</v>
      </c>
      <c r="AC29">
        <v>965</v>
      </c>
      <c r="AD29">
        <v>39</v>
      </c>
      <c r="AE29">
        <v>22.23</v>
      </c>
    </row>
    <row r="30" spans="1:31" x14ac:dyDescent="0.25">
      <c r="A30" t="s">
        <v>75</v>
      </c>
      <c r="B30">
        <v>4.07</v>
      </c>
      <c r="C30">
        <v>98.06</v>
      </c>
      <c r="D30">
        <v>98.22</v>
      </c>
      <c r="E30">
        <v>92.98</v>
      </c>
      <c r="F30">
        <v>85.63</v>
      </c>
      <c r="G30">
        <v>91.87</v>
      </c>
      <c r="H30">
        <v>98.86</v>
      </c>
      <c r="I30">
        <v>98.22</v>
      </c>
      <c r="J30">
        <v>99.34</v>
      </c>
      <c r="K30">
        <v>96.78</v>
      </c>
      <c r="L30">
        <v>98.38</v>
      </c>
      <c r="M30">
        <v>90.77</v>
      </c>
      <c r="N30">
        <v>98.86</v>
      </c>
      <c r="O30">
        <v>98.22</v>
      </c>
      <c r="P30">
        <v>100.15</v>
      </c>
      <c r="Q30">
        <v>97.58</v>
      </c>
      <c r="R30">
        <v>98.86</v>
      </c>
      <c r="S30">
        <v>97.74</v>
      </c>
      <c r="T30">
        <v>98.54</v>
      </c>
      <c r="U30">
        <v>88.12</v>
      </c>
      <c r="V30">
        <v>98.7</v>
      </c>
      <c r="W30">
        <v>97.1</v>
      </c>
      <c r="X30">
        <v>98.06</v>
      </c>
      <c r="Y30">
        <v>91.87</v>
      </c>
      <c r="Z30">
        <v>98.38</v>
      </c>
      <c r="AB30">
        <v>23</v>
      </c>
      <c r="AC30">
        <v>965</v>
      </c>
      <c r="AD30">
        <v>39</v>
      </c>
      <c r="AE30">
        <v>22.23</v>
      </c>
    </row>
    <row r="31" spans="1:31" x14ac:dyDescent="0.25">
      <c r="A31" t="s">
        <v>76</v>
      </c>
      <c r="B31">
        <v>4.32</v>
      </c>
      <c r="C31">
        <v>98.22</v>
      </c>
      <c r="D31">
        <v>97.9</v>
      </c>
      <c r="E31">
        <v>92.82</v>
      </c>
      <c r="F31">
        <v>85.48</v>
      </c>
      <c r="G31">
        <v>91.72</v>
      </c>
      <c r="H31">
        <v>99.02</v>
      </c>
      <c r="I31">
        <v>98.06</v>
      </c>
      <c r="J31">
        <v>99.18</v>
      </c>
      <c r="K31">
        <v>96.94</v>
      </c>
      <c r="L31">
        <v>97.74</v>
      </c>
      <c r="M31">
        <v>90.62</v>
      </c>
      <c r="N31">
        <v>98.86</v>
      </c>
      <c r="O31">
        <v>98.06</v>
      </c>
      <c r="P31">
        <v>99.83</v>
      </c>
      <c r="Q31">
        <v>97.1</v>
      </c>
      <c r="R31">
        <v>98.86</v>
      </c>
      <c r="S31">
        <v>98.06</v>
      </c>
      <c r="T31">
        <v>98.54</v>
      </c>
      <c r="U31">
        <v>87.96</v>
      </c>
      <c r="V31">
        <v>98.7</v>
      </c>
      <c r="W31">
        <v>97.1</v>
      </c>
      <c r="X31">
        <v>97.9</v>
      </c>
      <c r="Y31">
        <v>91.4</v>
      </c>
      <c r="Z31">
        <v>98.54</v>
      </c>
      <c r="AB31">
        <v>23</v>
      </c>
      <c r="AC31">
        <v>965</v>
      </c>
      <c r="AD31">
        <v>39</v>
      </c>
      <c r="AE31">
        <v>22.24</v>
      </c>
    </row>
    <row r="32" spans="1:31" x14ac:dyDescent="0.25">
      <c r="A32" t="s">
        <v>77</v>
      </c>
      <c r="B32">
        <v>4.57</v>
      </c>
      <c r="C32">
        <v>98.06</v>
      </c>
      <c r="D32">
        <v>97.9</v>
      </c>
      <c r="E32">
        <v>92.82</v>
      </c>
      <c r="F32">
        <v>85.17</v>
      </c>
      <c r="G32">
        <v>91.56</v>
      </c>
      <c r="H32">
        <v>99.02</v>
      </c>
      <c r="I32">
        <v>98.06</v>
      </c>
      <c r="J32">
        <v>99.51</v>
      </c>
      <c r="K32">
        <v>96.94</v>
      </c>
      <c r="L32">
        <v>97.9</v>
      </c>
      <c r="M32">
        <v>90.62</v>
      </c>
      <c r="N32">
        <v>98.86</v>
      </c>
      <c r="O32">
        <v>98.06</v>
      </c>
      <c r="P32">
        <v>99.99</v>
      </c>
      <c r="Q32">
        <v>97.1</v>
      </c>
      <c r="R32">
        <v>98.54</v>
      </c>
      <c r="S32">
        <v>98.22</v>
      </c>
      <c r="T32">
        <v>98.7</v>
      </c>
      <c r="U32">
        <v>87.81</v>
      </c>
      <c r="V32">
        <v>98.38</v>
      </c>
      <c r="W32">
        <v>96.78</v>
      </c>
      <c r="X32">
        <v>97.9</v>
      </c>
      <c r="Y32">
        <v>91.72</v>
      </c>
      <c r="Z32">
        <v>98.38</v>
      </c>
      <c r="AB32">
        <v>23</v>
      </c>
      <c r="AC32">
        <v>965</v>
      </c>
      <c r="AD32">
        <v>39</v>
      </c>
      <c r="AE32">
        <v>22.24</v>
      </c>
    </row>
    <row r="33" spans="1:31" x14ac:dyDescent="0.25">
      <c r="A33" t="s">
        <v>78</v>
      </c>
      <c r="B33">
        <v>4.82</v>
      </c>
      <c r="C33">
        <v>98.06</v>
      </c>
      <c r="D33">
        <v>97.74</v>
      </c>
      <c r="E33">
        <v>92.66</v>
      </c>
      <c r="F33">
        <v>85.02</v>
      </c>
      <c r="G33">
        <v>91.56</v>
      </c>
      <c r="H33">
        <v>99.02</v>
      </c>
      <c r="I33">
        <v>97.9</v>
      </c>
      <c r="J33">
        <v>99.02</v>
      </c>
      <c r="K33">
        <v>96.78</v>
      </c>
      <c r="L33">
        <v>98.06</v>
      </c>
      <c r="M33">
        <v>90.15</v>
      </c>
      <c r="N33">
        <v>98.54</v>
      </c>
      <c r="O33">
        <v>98.06</v>
      </c>
      <c r="P33">
        <v>99.83</v>
      </c>
      <c r="Q33">
        <v>97.26</v>
      </c>
      <c r="R33">
        <v>98.54</v>
      </c>
      <c r="S33">
        <v>97.74</v>
      </c>
      <c r="T33">
        <v>98.54</v>
      </c>
      <c r="U33">
        <v>87.65</v>
      </c>
      <c r="V33">
        <v>98.54</v>
      </c>
      <c r="W33">
        <v>96.94</v>
      </c>
      <c r="X33">
        <v>97.9</v>
      </c>
      <c r="Y33">
        <v>91.24</v>
      </c>
      <c r="Z33">
        <v>98.54</v>
      </c>
      <c r="AB33">
        <v>23</v>
      </c>
      <c r="AC33">
        <v>965</v>
      </c>
      <c r="AD33">
        <v>39</v>
      </c>
      <c r="AE33">
        <v>22.24</v>
      </c>
    </row>
    <row r="34" spans="1:31" x14ac:dyDescent="0.25">
      <c r="A34" t="s">
        <v>79</v>
      </c>
      <c r="B34">
        <v>5.07</v>
      </c>
      <c r="C34">
        <v>98.06</v>
      </c>
      <c r="D34">
        <v>97.74</v>
      </c>
      <c r="E34">
        <v>92.98</v>
      </c>
      <c r="F34">
        <v>85.02</v>
      </c>
      <c r="G34">
        <v>91.87</v>
      </c>
      <c r="H34">
        <v>99.02</v>
      </c>
      <c r="I34">
        <v>98.22</v>
      </c>
      <c r="J34">
        <v>99.51</v>
      </c>
      <c r="K34">
        <v>96.78</v>
      </c>
      <c r="L34">
        <v>98.06</v>
      </c>
      <c r="M34">
        <v>90.3</v>
      </c>
      <c r="N34">
        <v>98.54</v>
      </c>
      <c r="O34">
        <v>98.54</v>
      </c>
      <c r="P34">
        <v>99.83</v>
      </c>
      <c r="Q34">
        <v>97.26</v>
      </c>
      <c r="R34">
        <v>98.86</v>
      </c>
      <c r="S34">
        <v>97.58</v>
      </c>
      <c r="T34">
        <v>98.86</v>
      </c>
      <c r="U34">
        <v>87.5</v>
      </c>
      <c r="V34">
        <v>98.7</v>
      </c>
      <c r="W34">
        <v>97.1</v>
      </c>
      <c r="X34">
        <v>98.22</v>
      </c>
      <c r="Y34">
        <v>91.4</v>
      </c>
      <c r="Z34">
        <v>98.54</v>
      </c>
      <c r="AB34">
        <v>23</v>
      </c>
      <c r="AC34">
        <v>965</v>
      </c>
      <c r="AD34">
        <v>39</v>
      </c>
      <c r="AE34">
        <v>22.24</v>
      </c>
    </row>
    <row r="35" spans="1:31" x14ac:dyDescent="0.25">
      <c r="A35" t="s">
        <v>80</v>
      </c>
      <c r="B35">
        <v>5.32</v>
      </c>
      <c r="C35">
        <v>98.06</v>
      </c>
      <c r="D35">
        <v>98.06</v>
      </c>
      <c r="E35">
        <v>92.98</v>
      </c>
      <c r="F35">
        <v>84.86</v>
      </c>
      <c r="G35">
        <v>91.72</v>
      </c>
      <c r="H35">
        <v>99.02</v>
      </c>
      <c r="I35">
        <v>98.54</v>
      </c>
      <c r="J35">
        <v>99.51</v>
      </c>
      <c r="K35">
        <v>97.1</v>
      </c>
      <c r="L35">
        <v>98.54</v>
      </c>
      <c r="M35">
        <v>90.3</v>
      </c>
      <c r="N35">
        <v>99.18</v>
      </c>
      <c r="O35">
        <v>98.54</v>
      </c>
      <c r="P35">
        <v>99.83</v>
      </c>
      <c r="Q35">
        <v>97.26</v>
      </c>
      <c r="R35">
        <v>98.86</v>
      </c>
      <c r="S35">
        <v>97.58</v>
      </c>
      <c r="T35">
        <v>98.7</v>
      </c>
      <c r="U35">
        <v>87.65</v>
      </c>
      <c r="V35">
        <v>98.7</v>
      </c>
      <c r="W35">
        <v>97.26</v>
      </c>
      <c r="X35">
        <v>98.22</v>
      </c>
      <c r="Y35">
        <v>91.4</v>
      </c>
      <c r="Z35">
        <v>98.7</v>
      </c>
      <c r="AB35">
        <v>23</v>
      </c>
      <c r="AC35">
        <v>965</v>
      </c>
      <c r="AD35">
        <v>39</v>
      </c>
      <c r="AE35">
        <v>22.25</v>
      </c>
    </row>
    <row r="36" spans="1:31" x14ac:dyDescent="0.25">
      <c r="A36" t="s">
        <v>81</v>
      </c>
      <c r="B36">
        <v>5.58</v>
      </c>
      <c r="C36">
        <v>97.9</v>
      </c>
      <c r="D36">
        <v>98.06</v>
      </c>
      <c r="E36">
        <v>92.66</v>
      </c>
      <c r="F36">
        <v>84.4</v>
      </c>
      <c r="G36">
        <v>91.72</v>
      </c>
      <c r="H36">
        <v>98.86</v>
      </c>
      <c r="I36">
        <v>98.54</v>
      </c>
      <c r="J36">
        <v>99.34</v>
      </c>
      <c r="K36">
        <v>97.1</v>
      </c>
      <c r="L36">
        <v>97.9</v>
      </c>
      <c r="M36">
        <v>89.99</v>
      </c>
      <c r="N36">
        <v>99.18</v>
      </c>
      <c r="O36">
        <v>98.22</v>
      </c>
      <c r="P36">
        <v>99.99</v>
      </c>
      <c r="Q36">
        <v>97.26</v>
      </c>
      <c r="R36">
        <v>98.86</v>
      </c>
      <c r="S36">
        <v>97.9</v>
      </c>
      <c r="T36">
        <v>98.54</v>
      </c>
      <c r="U36">
        <v>87.65</v>
      </c>
      <c r="V36">
        <v>98.7</v>
      </c>
      <c r="W36">
        <v>96.62</v>
      </c>
      <c r="X36">
        <v>97.74</v>
      </c>
      <c r="Y36">
        <v>91.56</v>
      </c>
      <c r="Z36">
        <v>98.54</v>
      </c>
      <c r="AB36">
        <v>23</v>
      </c>
      <c r="AC36">
        <v>965</v>
      </c>
      <c r="AD36">
        <v>39</v>
      </c>
      <c r="AE36">
        <v>22.25</v>
      </c>
    </row>
    <row r="37" spans="1:31" x14ac:dyDescent="0.25">
      <c r="A37" t="s">
        <v>82</v>
      </c>
      <c r="B37">
        <v>5.83</v>
      </c>
      <c r="C37">
        <v>97.9</v>
      </c>
      <c r="D37">
        <v>97.74</v>
      </c>
      <c r="E37">
        <v>92.98</v>
      </c>
      <c r="F37">
        <v>83.94</v>
      </c>
      <c r="G37">
        <v>91.72</v>
      </c>
      <c r="H37">
        <v>98.7</v>
      </c>
      <c r="I37">
        <v>98.22</v>
      </c>
      <c r="J37">
        <v>99.02</v>
      </c>
      <c r="K37">
        <v>96.78</v>
      </c>
      <c r="L37">
        <v>98.22</v>
      </c>
      <c r="M37">
        <v>89.99</v>
      </c>
      <c r="N37">
        <v>98.86</v>
      </c>
      <c r="O37">
        <v>98.06</v>
      </c>
      <c r="P37">
        <v>99.83</v>
      </c>
      <c r="Q37">
        <v>96.62</v>
      </c>
      <c r="R37">
        <v>98.54</v>
      </c>
      <c r="S37">
        <v>97.9</v>
      </c>
      <c r="T37">
        <v>98.54</v>
      </c>
      <c r="U37">
        <v>87.18</v>
      </c>
      <c r="V37">
        <v>98.54</v>
      </c>
      <c r="W37">
        <v>96.78</v>
      </c>
      <c r="X37">
        <v>98.06</v>
      </c>
      <c r="Y37">
        <v>91.4</v>
      </c>
      <c r="Z37">
        <v>98.38</v>
      </c>
      <c r="AB37">
        <v>23</v>
      </c>
      <c r="AC37">
        <v>965</v>
      </c>
      <c r="AD37">
        <v>39</v>
      </c>
      <c r="AE37">
        <v>22.27</v>
      </c>
    </row>
    <row r="38" spans="1:31" x14ac:dyDescent="0.25">
      <c r="A38" t="s">
        <v>83</v>
      </c>
      <c r="B38">
        <v>6.08</v>
      </c>
      <c r="C38">
        <v>98.06</v>
      </c>
      <c r="D38">
        <v>97.9</v>
      </c>
      <c r="E38">
        <v>92.98</v>
      </c>
      <c r="F38">
        <v>84.4</v>
      </c>
      <c r="G38">
        <v>91.87</v>
      </c>
      <c r="H38">
        <v>98.86</v>
      </c>
      <c r="I38">
        <v>98.22</v>
      </c>
      <c r="J38">
        <v>99.51</v>
      </c>
      <c r="K38">
        <v>96.78</v>
      </c>
      <c r="L38">
        <v>98.06</v>
      </c>
      <c r="M38">
        <v>89.99</v>
      </c>
      <c r="N38">
        <v>98.86</v>
      </c>
      <c r="O38">
        <v>98.06</v>
      </c>
      <c r="P38">
        <v>99.83</v>
      </c>
      <c r="Q38">
        <v>97.1</v>
      </c>
      <c r="R38">
        <v>98.38</v>
      </c>
      <c r="S38">
        <v>98.06</v>
      </c>
      <c r="T38">
        <v>98.86</v>
      </c>
      <c r="U38">
        <v>87.34</v>
      </c>
      <c r="V38">
        <v>98.54</v>
      </c>
      <c r="W38">
        <v>96.78</v>
      </c>
      <c r="X38">
        <v>98.06</v>
      </c>
      <c r="Y38">
        <v>91.09</v>
      </c>
      <c r="Z38">
        <v>98.54</v>
      </c>
      <c r="AB38">
        <v>23</v>
      </c>
      <c r="AC38">
        <v>965</v>
      </c>
      <c r="AD38">
        <v>39</v>
      </c>
      <c r="AE38">
        <v>22.25</v>
      </c>
    </row>
    <row r="39" spans="1:31" x14ac:dyDescent="0.25">
      <c r="A39" t="s">
        <v>84</v>
      </c>
      <c r="B39">
        <v>6.33</v>
      </c>
      <c r="C39">
        <v>98.06</v>
      </c>
      <c r="D39">
        <v>97.9</v>
      </c>
      <c r="E39">
        <v>92.82</v>
      </c>
      <c r="F39">
        <v>83.94</v>
      </c>
      <c r="G39">
        <v>91.56</v>
      </c>
      <c r="H39">
        <v>99.02</v>
      </c>
      <c r="I39">
        <v>98.22</v>
      </c>
      <c r="J39">
        <v>99.51</v>
      </c>
      <c r="K39">
        <v>97.26</v>
      </c>
      <c r="L39">
        <v>98.06</v>
      </c>
      <c r="M39">
        <v>89.68</v>
      </c>
      <c r="N39">
        <v>98.7</v>
      </c>
      <c r="O39">
        <v>98.38</v>
      </c>
      <c r="P39">
        <v>99.83</v>
      </c>
      <c r="Q39">
        <v>97.1</v>
      </c>
      <c r="R39">
        <v>98.86</v>
      </c>
      <c r="S39">
        <v>97.74</v>
      </c>
      <c r="T39">
        <v>98.7</v>
      </c>
      <c r="U39">
        <v>87.18</v>
      </c>
      <c r="V39">
        <v>98.86</v>
      </c>
      <c r="W39">
        <v>97.26</v>
      </c>
      <c r="X39">
        <v>97.9</v>
      </c>
      <c r="Y39">
        <v>91.24</v>
      </c>
      <c r="Z39">
        <v>98.54</v>
      </c>
      <c r="AB39">
        <v>23</v>
      </c>
      <c r="AC39">
        <v>965</v>
      </c>
      <c r="AD39">
        <v>39</v>
      </c>
      <c r="AE39">
        <v>22.25</v>
      </c>
    </row>
    <row r="40" spans="1:31" x14ac:dyDescent="0.25">
      <c r="A40" t="s">
        <v>85</v>
      </c>
      <c r="B40">
        <v>6.58</v>
      </c>
      <c r="C40">
        <v>98.06</v>
      </c>
      <c r="D40">
        <v>97.58</v>
      </c>
      <c r="E40">
        <v>92.82</v>
      </c>
      <c r="F40">
        <v>83.94</v>
      </c>
      <c r="G40">
        <v>91.72</v>
      </c>
      <c r="H40">
        <v>98.86</v>
      </c>
      <c r="I40">
        <v>97.58</v>
      </c>
      <c r="J40">
        <v>99.18</v>
      </c>
      <c r="K40">
        <v>96.78</v>
      </c>
      <c r="L40">
        <v>97.74</v>
      </c>
      <c r="M40">
        <v>89.68</v>
      </c>
      <c r="N40">
        <v>98.7</v>
      </c>
      <c r="O40">
        <v>98.06</v>
      </c>
      <c r="P40">
        <v>99.51</v>
      </c>
      <c r="Q40">
        <v>96.94</v>
      </c>
      <c r="R40">
        <v>98.7</v>
      </c>
      <c r="S40">
        <v>97.9</v>
      </c>
      <c r="T40">
        <v>98.7</v>
      </c>
      <c r="U40">
        <v>86.72</v>
      </c>
      <c r="V40">
        <v>98.54</v>
      </c>
      <c r="W40">
        <v>96.94</v>
      </c>
      <c r="X40">
        <v>97.9</v>
      </c>
      <c r="Y40">
        <v>90.93</v>
      </c>
      <c r="Z40">
        <v>98.38</v>
      </c>
      <c r="AB40">
        <v>23</v>
      </c>
      <c r="AC40">
        <v>965</v>
      </c>
      <c r="AD40">
        <v>39</v>
      </c>
      <c r="AE40">
        <v>22.27</v>
      </c>
    </row>
    <row r="41" spans="1:31" x14ac:dyDescent="0.25">
      <c r="A41" t="s">
        <v>86</v>
      </c>
      <c r="B41">
        <v>6.83</v>
      </c>
      <c r="C41">
        <v>98.38</v>
      </c>
      <c r="D41">
        <v>97.74</v>
      </c>
      <c r="E41">
        <v>92.82</v>
      </c>
      <c r="F41">
        <v>83.94</v>
      </c>
      <c r="G41">
        <v>91.56</v>
      </c>
      <c r="H41">
        <v>98.86</v>
      </c>
      <c r="I41">
        <v>97.58</v>
      </c>
      <c r="J41">
        <v>99.51</v>
      </c>
      <c r="K41">
        <v>97.1</v>
      </c>
      <c r="L41">
        <v>97.9</v>
      </c>
      <c r="M41">
        <v>89.52</v>
      </c>
      <c r="N41">
        <v>98.86</v>
      </c>
      <c r="O41">
        <v>98.22</v>
      </c>
      <c r="P41">
        <v>99.99</v>
      </c>
      <c r="Q41">
        <v>97.1</v>
      </c>
      <c r="R41">
        <v>98.54</v>
      </c>
      <c r="S41">
        <v>97.9</v>
      </c>
      <c r="T41">
        <v>98.7</v>
      </c>
      <c r="U41">
        <v>86.72</v>
      </c>
      <c r="V41">
        <v>98.7</v>
      </c>
      <c r="W41">
        <v>96.78</v>
      </c>
      <c r="X41">
        <v>97.9</v>
      </c>
      <c r="Y41">
        <v>90.93</v>
      </c>
      <c r="Z41">
        <v>98.06</v>
      </c>
      <c r="AB41">
        <v>23</v>
      </c>
      <c r="AC41">
        <v>965</v>
      </c>
      <c r="AD41">
        <v>39</v>
      </c>
      <c r="AE41">
        <v>22.27</v>
      </c>
    </row>
    <row r="42" spans="1:31" x14ac:dyDescent="0.25">
      <c r="A42" t="s">
        <v>87</v>
      </c>
      <c r="B42">
        <v>7.08</v>
      </c>
      <c r="C42">
        <v>97.9</v>
      </c>
      <c r="D42">
        <v>97.58</v>
      </c>
      <c r="E42">
        <v>92.66</v>
      </c>
      <c r="F42">
        <v>83.63</v>
      </c>
      <c r="G42">
        <v>91.72</v>
      </c>
      <c r="H42">
        <v>99.02</v>
      </c>
      <c r="I42">
        <v>97.9</v>
      </c>
      <c r="J42">
        <v>99.02</v>
      </c>
      <c r="K42">
        <v>97.1</v>
      </c>
      <c r="L42">
        <v>98.06</v>
      </c>
      <c r="M42">
        <v>89.21</v>
      </c>
      <c r="N42">
        <v>98.7</v>
      </c>
      <c r="O42">
        <v>97.74</v>
      </c>
      <c r="P42">
        <v>99.67</v>
      </c>
      <c r="Q42">
        <v>96.94</v>
      </c>
      <c r="R42">
        <v>98.7</v>
      </c>
      <c r="S42">
        <v>97.9</v>
      </c>
      <c r="T42">
        <v>98.7</v>
      </c>
      <c r="U42">
        <v>86.72</v>
      </c>
      <c r="V42">
        <v>98.54</v>
      </c>
      <c r="W42">
        <v>97.1</v>
      </c>
      <c r="X42">
        <v>97.42</v>
      </c>
      <c r="Y42">
        <v>90.62</v>
      </c>
      <c r="Z42">
        <v>98.54</v>
      </c>
      <c r="AB42">
        <v>23</v>
      </c>
      <c r="AC42">
        <v>965</v>
      </c>
      <c r="AD42">
        <v>39</v>
      </c>
      <c r="AE42">
        <v>22.27</v>
      </c>
    </row>
    <row r="43" spans="1:31" x14ac:dyDescent="0.25">
      <c r="A43" t="s">
        <v>88</v>
      </c>
      <c r="B43">
        <v>7.33</v>
      </c>
      <c r="C43">
        <v>98.06</v>
      </c>
      <c r="D43">
        <v>97.74</v>
      </c>
      <c r="E43">
        <v>92.82</v>
      </c>
      <c r="F43">
        <v>83.63</v>
      </c>
      <c r="G43">
        <v>91.72</v>
      </c>
      <c r="H43">
        <v>99.02</v>
      </c>
      <c r="I43">
        <v>98.06</v>
      </c>
      <c r="J43">
        <v>99.34</v>
      </c>
      <c r="K43">
        <v>96.78</v>
      </c>
      <c r="L43">
        <v>97.58</v>
      </c>
      <c r="M43">
        <v>89.05</v>
      </c>
      <c r="N43">
        <v>98.54</v>
      </c>
      <c r="O43">
        <v>98.22</v>
      </c>
      <c r="P43">
        <v>99.67</v>
      </c>
      <c r="Q43">
        <v>96.78</v>
      </c>
      <c r="R43">
        <v>98.54</v>
      </c>
      <c r="S43">
        <v>97.74</v>
      </c>
      <c r="T43">
        <v>98.7</v>
      </c>
      <c r="U43">
        <v>86.72</v>
      </c>
      <c r="V43">
        <v>98.38</v>
      </c>
      <c r="W43">
        <v>97.1</v>
      </c>
      <c r="X43">
        <v>97.9</v>
      </c>
      <c r="Y43">
        <v>91.4</v>
      </c>
      <c r="Z43">
        <v>98.22</v>
      </c>
      <c r="AB43">
        <v>23</v>
      </c>
      <c r="AC43">
        <v>965</v>
      </c>
      <c r="AD43">
        <v>39</v>
      </c>
      <c r="AE43">
        <v>22.27</v>
      </c>
    </row>
    <row r="44" spans="1:31" x14ac:dyDescent="0.25">
      <c r="A44" t="s">
        <v>89</v>
      </c>
      <c r="B44">
        <v>7.58</v>
      </c>
      <c r="C44">
        <v>98.06</v>
      </c>
      <c r="D44">
        <v>98.06</v>
      </c>
      <c r="E44">
        <v>92.66</v>
      </c>
      <c r="F44">
        <v>83.63</v>
      </c>
      <c r="G44">
        <v>91.72</v>
      </c>
      <c r="H44">
        <v>98.86</v>
      </c>
      <c r="I44">
        <v>97.9</v>
      </c>
      <c r="J44">
        <v>99.02</v>
      </c>
      <c r="K44">
        <v>96.94</v>
      </c>
      <c r="L44">
        <v>98.06</v>
      </c>
      <c r="M44">
        <v>89.21</v>
      </c>
      <c r="N44">
        <v>98.54</v>
      </c>
      <c r="O44">
        <v>98.38</v>
      </c>
      <c r="P44">
        <v>99.83</v>
      </c>
      <c r="Q44">
        <v>97.1</v>
      </c>
      <c r="R44">
        <v>98.54</v>
      </c>
      <c r="S44">
        <v>98.06</v>
      </c>
      <c r="T44">
        <v>98.54</v>
      </c>
      <c r="U44">
        <v>86.41</v>
      </c>
      <c r="V44">
        <v>98.7</v>
      </c>
      <c r="W44">
        <v>96.94</v>
      </c>
      <c r="X44">
        <v>97.74</v>
      </c>
      <c r="Y44">
        <v>90.77</v>
      </c>
      <c r="Z44">
        <v>98.38</v>
      </c>
      <c r="AB44">
        <v>23</v>
      </c>
      <c r="AC44">
        <v>965</v>
      </c>
      <c r="AD44">
        <v>39</v>
      </c>
      <c r="AE44">
        <v>22.27</v>
      </c>
    </row>
    <row r="45" spans="1:31" x14ac:dyDescent="0.25">
      <c r="A45" t="s">
        <v>90</v>
      </c>
      <c r="B45">
        <v>7.83</v>
      </c>
      <c r="C45">
        <v>98.06</v>
      </c>
      <c r="D45">
        <v>98.06</v>
      </c>
      <c r="E45">
        <v>92.66</v>
      </c>
      <c r="F45">
        <v>83.48</v>
      </c>
      <c r="G45">
        <v>91.87</v>
      </c>
      <c r="H45">
        <v>99.34</v>
      </c>
      <c r="I45">
        <v>98.06</v>
      </c>
      <c r="J45">
        <v>99.34</v>
      </c>
      <c r="K45">
        <v>97.1</v>
      </c>
      <c r="L45">
        <v>98.06</v>
      </c>
      <c r="M45">
        <v>89.05</v>
      </c>
      <c r="N45">
        <v>98.54</v>
      </c>
      <c r="O45">
        <v>97.9</v>
      </c>
      <c r="P45">
        <v>99.99</v>
      </c>
      <c r="Q45">
        <v>96.78</v>
      </c>
      <c r="R45">
        <v>98.7</v>
      </c>
      <c r="S45">
        <v>98.06</v>
      </c>
      <c r="T45">
        <v>98.7</v>
      </c>
      <c r="U45">
        <v>86.56</v>
      </c>
      <c r="V45">
        <v>98.86</v>
      </c>
      <c r="W45">
        <v>97.1</v>
      </c>
      <c r="X45">
        <v>97.58</v>
      </c>
      <c r="Y45">
        <v>90.93</v>
      </c>
      <c r="Z45">
        <v>98.22</v>
      </c>
      <c r="AB45">
        <v>23</v>
      </c>
      <c r="AC45">
        <v>965</v>
      </c>
      <c r="AD45">
        <v>39</v>
      </c>
      <c r="AE45">
        <v>22.27</v>
      </c>
    </row>
    <row r="46" spans="1:31" x14ac:dyDescent="0.25">
      <c r="A46" t="s">
        <v>91</v>
      </c>
      <c r="B46">
        <v>8.08</v>
      </c>
      <c r="C46">
        <v>98.06</v>
      </c>
      <c r="D46">
        <v>97.58</v>
      </c>
      <c r="E46">
        <v>92.66</v>
      </c>
      <c r="F46">
        <v>82.86</v>
      </c>
      <c r="G46">
        <v>91.87</v>
      </c>
      <c r="H46">
        <v>98.54</v>
      </c>
      <c r="I46">
        <v>97.58</v>
      </c>
      <c r="J46">
        <v>99.51</v>
      </c>
      <c r="K46">
        <v>96.78</v>
      </c>
      <c r="L46">
        <v>97.58</v>
      </c>
      <c r="M46">
        <v>88.9</v>
      </c>
      <c r="N46">
        <v>98.54</v>
      </c>
      <c r="O46">
        <v>98.06</v>
      </c>
      <c r="P46">
        <v>99.51</v>
      </c>
      <c r="Q46">
        <v>96.78</v>
      </c>
      <c r="R46">
        <v>98.38</v>
      </c>
      <c r="S46">
        <v>97.74</v>
      </c>
      <c r="T46">
        <v>98.38</v>
      </c>
      <c r="U46">
        <v>86.25</v>
      </c>
      <c r="V46">
        <v>98.54</v>
      </c>
      <c r="W46">
        <v>96.62</v>
      </c>
      <c r="X46">
        <v>97.74</v>
      </c>
      <c r="Y46">
        <v>90.77</v>
      </c>
      <c r="Z46">
        <v>98.22</v>
      </c>
      <c r="AB46">
        <v>23</v>
      </c>
      <c r="AC46">
        <v>965</v>
      </c>
      <c r="AD46">
        <v>39</v>
      </c>
      <c r="AE46">
        <v>22.27</v>
      </c>
    </row>
    <row r="47" spans="1:31" x14ac:dyDescent="0.25">
      <c r="A47" t="s">
        <v>92</v>
      </c>
      <c r="B47">
        <v>8.33</v>
      </c>
      <c r="C47">
        <v>97.9</v>
      </c>
      <c r="D47">
        <v>97.74</v>
      </c>
      <c r="E47">
        <v>92.35</v>
      </c>
      <c r="F47">
        <v>83.02</v>
      </c>
      <c r="G47">
        <v>91.87</v>
      </c>
      <c r="H47">
        <v>98.7</v>
      </c>
      <c r="I47">
        <v>97.42</v>
      </c>
      <c r="J47">
        <v>99.34</v>
      </c>
      <c r="K47">
        <v>96.78</v>
      </c>
      <c r="L47">
        <v>98.06</v>
      </c>
      <c r="M47">
        <v>89.21</v>
      </c>
      <c r="N47">
        <v>98.7</v>
      </c>
      <c r="O47">
        <v>98.06</v>
      </c>
      <c r="P47">
        <v>99.99</v>
      </c>
      <c r="Q47">
        <v>96.94</v>
      </c>
      <c r="R47">
        <v>98.22</v>
      </c>
      <c r="S47">
        <v>97.9</v>
      </c>
      <c r="T47">
        <v>98.7</v>
      </c>
      <c r="U47">
        <v>86.72</v>
      </c>
      <c r="V47">
        <v>98.54</v>
      </c>
      <c r="W47">
        <v>96.62</v>
      </c>
      <c r="X47">
        <v>97.42</v>
      </c>
      <c r="Y47">
        <v>90.93</v>
      </c>
      <c r="Z47">
        <v>98.54</v>
      </c>
      <c r="AB47">
        <v>23</v>
      </c>
      <c r="AC47">
        <v>965</v>
      </c>
      <c r="AD47">
        <v>39</v>
      </c>
      <c r="AE47">
        <v>22.27</v>
      </c>
    </row>
    <row r="48" spans="1:31" x14ac:dyDescent="0.25">
      <c r="A48" t="s">
        <v>93</v>
      </c>
      <c r="B48">
        <v>8.58</v>
      </c>
      <c r="C48">
        <v>98.06</v>
      </c>
      <c r="D48">
        <v>97.9</v>
      </c>
      <c r="E48">
        <v>92.5</v>
      </c>
      <c r="F48">
        <v>83.02</v>
      </c>
      <c r="G48">
        <v>91.87</v>
      </c>
      <c r="H48">
        <v>99.02</v>
      </c>
      <c r="I48">
        <v>97.9</v>
      </c>
      <c r="J48">
        <v>99.18</v>
      </c>
      <c r="K48">
        <v>96.62</v>
      </c>
      <c r="L48">
        <v>97.74</v>
      </c>
      <c r="M48">
        <v>89.21</v>
      </c>
      <c r="N48">
        <v>98.54</v>
      </c>
      <c r="O48">
        <v>97.9</v>
      </c>
      <c r="P48">
        <v>99.67</v>
      </c>
      <c r="Q48">
        <v>97.1</v>
      </c>
      <c r="R48">
        <v>98.38</v>
      </c>
      <c r="S48">
        <v>97.9</v>
      </c>
      <c r="T48">
        <v>98.86</v>
      </c>
      <c r="U48">
        <v>86.41</v>
      </c>
      <c r="V48">
        <v>98.86</v>
      </c>
      <c r="W48">
        <v>96.78</v>
      </c>
      <c r="X48">
        <v>97.9</v>
      </c>
      <c r="Y48">
        <v>90.93</v>
      </c>
      <c r="Z48">
        <v>98.38</v>
      </c>
      <c r="AB48">
        <v>23</v>
      </c>
      <c r="AC48">
        <v>965</v>
      </c>
      <c r="AD48">
        <v>39</v>
      </c>
      <c r="AE48">
        <v>22.27</v>
      </c>
    </row>
    <row r="49" spans="1:31" x14ac:dyDescent="0.25">
      <c r="A49" t="s">
        <v>94</v>
      </c>
      <c r="B49">
        <v>8.83</v>
      </c>
      <c r="C49">
        <v>98.06</v>
      </c>
      <c r="D49">
        <v>97.9</v>
      </c>
      <c r="E49">
        <v>92.66</v>
      </c>
      <c r="F49">
        <v>83.02</v>
      </c>
      <c r="G49">
        <v>91.24</v>
      </c>
      <c r="H49">
        <v>98.86</v>
      </c>
      <c r="I49">
        <v>97.9</v>
      </c>
      <c r="J49">
        <v>98.86</v>
      </c>
      <c r="K49">
        <v>96.94</v>
      </c>
      <c r="L49">
        <v>97.9</v>
      </c>
      <c r="M49">
        <v>88.9</v>
      </c>
      <c r="N49">
        <v>98.22</v>
      </c>
      <c r="O49">
        <v>98.06</v>
      </c>
      <c r="P49">
        <v>99.67</v>
      </c>
      <c r="Q49">
        <v>96.78</v>
      </c>
      <c r="R49">
        <v>98.38</v>
      </c>
      <c r="S49">
        <v>97.74</v>
      </c>
      <c r="T49">
        <v>98.54</v>
      </c>
      <c r="U49">
        <v>86.25</v>
      </c>
      <c r="V49">
        <v>98.38</v>
      </c>
      <c r="W49">
        <v>96.78</v>
      </c>
      <c r="X49">
        <v>97.74</v>
      </c>
      <c r="Y49">
        <v>90.77</v>
      </c>
      <c r="Z49">
        <v>98.54</v>
      </c>
      <c r="AB49">
        <v>23</v>
      </c>
      <c r="AC49">
        <v>965</v>
      </c>
      <c r="AD49">
        <v>39</v>
      </c>
      <c r="AE49">
        <v>22.27</v>
      </c>
    </row>
    <row r="50" spans="1:31" x14ac:dyDescent="0.25">
      <c r="A50" t="s">
        <v>95</v>
      </c>
      <c r="B50">
        <v>9.08</v>
      </c>
      <c r="C50">
        <v>97.9</v>
      </c>
      <c r="D50">
        <v>97.9</v>
      </c>
      <c r="E50">
        <v>92.35</v>
      </c>
      <c r="F50">
        <v>83.17</v>
      </c>
      <c r="G50">
        <v>91.24</v>
      </c>
      <c r="H50">
        <v>99.18</v>
      </c>
      <c r="I50">
        <v>97.42</v>
      </c>
      <c r="J50">
        <v>98.86</v>
      </c>
      <c r="K50">
        <v>96.94</v>
      </c>
      <c r="L50">
        <v>97.9</v>
      </c>
      <c r="M50">
        <v>89.21</v>
      </c>
      <c r="N50">
        <v>98.86</v>
      </c>
      <c r="O50">
        <v>98.22</v>
      </c>
      <c r="P50">
        <v>99.67</v>
      </c>
      <c r="Q50">
        <v>96.62</v>
      </c>
      <c r="R50">
        <v>98.54</v>
      </c>
      <c r="S50">
        <v>97.9</v>
      </c>
      <c r="T50">
        <v>98.38</v>
      </c>
      <c r="U50">
        <v>86.56</v>
      </c>
      <c r="V50">
        <v>98.7</v>
      </c>
      <c r="W50">
        <v>96.62</v>
      </c>
      <c r="X50">
        <v>98.06</v>
      </c>
      <c r="Y50">
        <v>91.09</v>
      </c>
      <c r="Z50">
        <v>98.54</v>
      </c>
      <c r="AB50">
        <v>23</v>
      </c>
      <c r="AC50">
        <v>965</v>
      </c>
      <c r="AD50">
        <v>39</v>
      </c>
      <c r="AE50">
        <v>22.29</v>
      </c>
    </row>
    <row r="51" spans="1:31" x14ac:dyDescent="0.25">
      <c r="A51" t="s">
        <v>96</v>
      </c>
      <c r="B51">
        <v>9.33</v>
      </c>
      <c r="C51">
        <v>98.06</v>
      </c>
      <c r="D51">
        <v>97.74</v>
      </c>
      <c r="E51">
        <v>92.19</v>
      </c>
      <c r="F51">
        <v>82.71</v>
      </c>
      <c r="G51">
        <v>91.4</v>
      </c>
      <c r="H51">
        <v>98.38</v>
      </c>
      <c r="I51">
        <v>97.74</v>
      </c>
      <c r="J51">
        <v>98.86</v>
      </c>
      <c r="K51">
        <v>96.62</v>
      </c>
      <c r="L51">
        <v>97.74</v>
      </c>
      <c r="M51">
        <v>88.9</v>
      </c>
      <c r="N51">
        <v>98.54</v>
      </c>
      <c r="O51">
        <v>98.06</v>
      </c>
      <c r="P51">
        <v>99.18</v>
      </c>
      <c r="Q51">
        <v>96.78</v>
      </c>
      <c r="R51">
        <v>98.22</v>
      </c>
      <c r="S51">
        <v>97.9</v>
      </c>
      <c r="T51">
        <v>98.54</v>
      </c>
      <c r="U51">
        <v>86.56</v>
      </c>
      <c r="V51">
        <v>98.7</v>
      </c>
      <c r="W51">
        <v>96.94</v>
      </c>
      <c r="X51">
        <v>97.74</v>
      </c>
      <c r="Y51">
        <v>90.77</v>
      </c>
      <c r="Z51">
        <v>98.22</v>
      </c>
      <c r="AB51">
        <v>23</v>
      </c>
      <c r="AC51">
        <v>965</v>
      </c>
      <c r="AD51">
        <v>39</v>
      </c>
      <c r="AE51">
        <v>22.27</v>
      </c>
    </row>
    <row r="52" spans="1:31" x14ac:dyDescent="0.25">
      <c r="A52" t="s">
        <v>97</v>
      </c>
      <c r="B52">
        <v>9.58</v>
      </c>
      <c r="C52">
        <v>98.06</v>
      </c>
      <c r="D52">
        <v>97.9</v>
      </c>
      <c r="E52">
        <v>92.19</v>
      </c>
      <c r="F52">
        <v>82.56</v>
      </c>
      <c r="G52">
        <v>91.4</v>
      </c>
      <c r="H52">
        <v>98.86</v>
      </c>
      <c r="I52">
        <v>97.58</v>
      </c>
      <c r="J52">
        <v>98.7</v>
      </c>
      <c r="K52">
        <v>96.78</v>
      </c>
      <c r="L52">
        <v>97.74</v>
      </c>
      <c r="M52">
        <v>88.9</v>
      </c>
      <c r="N52">
        <v>98.22</v>
      </c>
      <c r="O52">
        <v>98.38</v>
      </c>
      <c r="P52">
        <v>99.83</v>
      </c>
      <c r="Q52">
        <v>96.78</v>
      </c>
      <c r="R52">
        <v>98.54</v>
      </c>
      <c r="S52">
        <v>97.74</v>
      </c>
      <c r="T52">
        <v>98.54</v>
      </c>
      <c r="U52">
        <v>86.41</v>
      </c>
      <c r="V52">
        <v>98.54</v>
      </c>
      <c r="W52">
        <v>96.62</v>
      </c>
      <c r="X52">
        <v>97.9</v>
      </c>
      <c r="Y52">
        <v>90.93</v>
      </c>
      <c r="Z52">
        <v>98.38</v>
      </c>
      <c r="AB52">
        <v>23</v>
      </c>
      <c r="AC52">
        <v>965</v>
      </c>
      <c r="AD52">
        <v>39</v>
      </c>
      <c r="AE52">
        <v>22.29</v>
      </c>
    </row>
    <row r="53" spans="1:31" x14ac:dyDescent="0.25">
      <c r="A53" t="s">
        <v>98</v>
      </c>
      <c r="B53">
        <v>9.83</v>
      </c>
      <c r="C53">
        <v>98.06</v>
      </c>
      <c r="D53">
        <v>97.74</v>
      </c>
      <c r="E53">
        <v>91.87</v>
      </c>
      <c r="F53">
        <v>82.56</v>
      </c>
      <c r="G53">
        <v>91.87</v>
      </c>
      <c r="H53">
        <v>99.02</v>
      </c>
      <c r="I53">
        <v>97.9</v>
      </c>
      <c r="J53">
        <v>99.34</v>
      </c>
      <c r="K53">
        <v>97.26</v>
      </c>
      <c r="L53">
        <v>98.06</v>
      </c>
      <c r="M53">
        <v>88.9</v>
      </c>
      <c r="N53">
        <v>98.7</v>
      </c>
      <c r="O53">
        <v>97.9</v>
      </c>
      <c r="P53">
        <v>99.83</v>
      </c>
      <c r="Q53">
        <v>96.78</v>
      </c>
      <c r="R53">
        <v>98.54</v>
      </c>
      <c r="S53">
        <v>97.58</v>
      </c>
      <c r="T53">
        <v>98.38</v>
      </c>
      <c r="U53">
        <v>86.72</v>
      </c>
      <c r="V53">
        <v>98.7</v>
      </c>
      <c r="W53">
        <v>97.1</v>
      </c>
      <c r="X53">
        <v>97.74</v>
      </c>
      <c r="Y53">
        <v>90.62</v>
      </c>
      <c r="Z53">
        <v>98.06</v>
      </c>
      <c r="AB53">
        <v>23</v>
      </c>
      <c r="AC53">
        <v>965</v>
      </c>
      <c r="AD53">
        <v>39</v>
      </c>
      <c r="AE53">
        <v>22.27</v>
      </c>
    </row>
    <row r="54" spans="1:31" x14ac:dyDescent="0.25">
      <c r="A54" t="s">
        <v>99</v>
      </c>
      <c r="B54">
        <v>10.08</v>
      </c>
      <c r="C54">
        <v>97.9</v>
      </c>
      <c r="D54">
        <v>97.58</v>
      </c>
      <c r="E54">
        <v>92.03</v>
      </c>
      <c r="F54">
        <v>82.4</v>
      </c>
      <c r="G54">
        <v>91.4</v>
      </c>
      <c r="H54">
        <v>98.86</v>
      </c>
      <c r="I54">
        <v>97.58</v>
      </c>
      <c r="J54">
        <v>99.18</v>
      </c>
      <c r="K54">
        <v>96.62</v>
      </c>
      <c r="L54">
        <v>97.9</v>
      </c>
      <c r="M54">
        <v>89.05</v>
      </c>
      <c r="N54">
        <v>98.86</v>
      </c>
      <c r="O54">
        <v>98.06</v>
      </c>
      <c r="P54">
        <v>99.51</v>
      </c>
      <c r="Q54">
        <v>96.62</v>
      </c>
      <c r="R54">
        <v>98.54</v>
      </c>
      <c r="S54">
        <v>97.74</v>
      </c>
      <c r="T54">
        <v>98.7</v>
      </c>
      <c r="U54">
        <v>86.41</v>
      </c>
      <c r="V54">
        <v>98.7</v>
      </c>
      <c r="W54">
        <v>97.1</v>
      </c>
      <c r="X54">
        <v>97.9</v>
      </c>
      <c r="Y54">
        <v>90.77</v>
      </c>
      <c r="Z54">
        <v>98.38</v>
      </c>
      <c r="AB54">
        <v>23</v>
      </c>
      <c r="AC54">
        <v>965</v>
      </c>
      <c r="AD54">
        <v>39</v>
      </c>
      <c r="AE54">
        <v>22.27</v>
      </c>
    </row>
    <row r="55" spans="1:31" x14ac:dyDescent="0.25">
      <c r="A55" t="s">
        <v>100</v>
      </c>
      <c r="B55">
        <v>10.33</v>
      </c>
      <c r="C55">
        <v>98.06</v>
      </c>
      <c r="D55">
        <v>97.58</v>
      </c>
      <c r="E55">
        <v>91.87</v>
      </c>
      <c r="F55">
        <v>82.56</v>
      </c>
      <c r="G55">
        <v>91.72</v>
      </c>
      <c r="H55">
        <v>99.18</v>
      </c>
      <c r="I55">
        <v>97.58</v>
      </c>
      <c r="J55">
        <v>99.34</v>
      </c>
      <c r="K55">
        <v>96.78</v>
      </c>
      <c r="L55">
        <v>97.58</v>
      </c>
      <c r="M55">
        <v>88.9</v>
      </c>
      <c r="N55">
        <v>98.86</v>
      </c>
      <c r="O55">
        <v>98.22</v>
      </c>
      <c r="P55">
        <v>99.83</v>
      </c>
      <c r="Q55">
        <v>96.47</v>
      </c>
      <c r="R55">
        <v>98.38</v>
      </c>
      <c r="S55">
        <v>97.9</v>
      </c>
      <c r="T55">
        <v>98.54</v>
      </c>
      <c r="U55">
        <v>86.72</v>
      </c>
      <c r="V55">
        <v>98.22</v>
      </c>
      <c r="W55">
        <v>97.1</v>
      </c>
      <c r="X55">
        <v>97.74</v>
      </c>
      <c r="Y55">
        <v>90.62</v>
      </c>
      <c r="Z55">
        <v>98.54</v>
      </c>
      <c r="AB55">
        <v>23</v>
      </c>
      <c r="AC55">
        <v>965</v>
      </c>
      <c r="AD55">
        <v>39</v>
      </c>
      <c r="AE55">
        <v>22.29</v>
      </c>
    </row>
    <row r="56" spans="1:31" x14ac:dyDescent="0.25">
      <c r="A56" t="s">
        <v>101</v>
      </c>
      <c r="B56">
        <v>10.58</v>
      </c>
      <c r="C56">
        <v>98.06</v>
      </c>
      <c r="D56">
        <v>97.42</v>
      </c>
      <c r="E56">
        <v>91.72</v>
      </c>
      <c r="F56">
        <v>82.4</v>
      </c>
      <c r="G56">
        <v>91.56</v>
      </c>
      <c r="H56">
        <v>98.86</v>
      </c>
      <c r="I56">
        <v>97.74</v>
      </c>
      <c r="J56">
        <v>99.02</v>
      </c>
      <c r="K56">
        <v>97.1</v>
      </c>
      <c r="L56">
        <v>98.06</v>
      </c>
      <c r="M56">
        <v>88.43</v>
      </c>
      <c r="N56">
        <v>98.38</v>
      </c>
      <c r="O56">
        <v>98.06</v>
      </c>
      <c r="P56">
        <v>99.99</v>
      </c>
      <c r="Q56">
        <v>96.62</v>
      </c>
      <c r="R56">
        <v>98.54</v>
      </c>
      <c r="S56">
        <v>97.74</v>
      </c>
      <c r="T56">
        <v>98.54</v>
      </c>
      <c r="U56">
        <v>86.25</v>
      </c>
      <c r="V56">
        <v>98.7</v>
      </c>
      <c r="W56">
        <v>96.78</v>
      </c>
      <c r="X56">
        <v>97.42</v>
      </c>
      <c r="Y56">
        <v>90.62</v>
      </c>
      <c r="Z56">
        <v>98.22</v>
      </c>
      <c r="AB56">
        <v>23</v>
      </c>
      <c r="AC56">
        <v>965</v>
      </c>
      <c r="AD56">
        <v>39</v>
      </c>
      <c r="AE56">
        <v>22.27</v>
      </c>
    </row>
    <row r="57" spans="1:31" x14ac:dyDescent="0.25">
      <c r="A57" t="s">
        <v>102</v>
      </c>
      <c r="B57">
        <v>10.83</v>
      </c>
      <c r="C57">
        <v>98.06</v>
      </c>
      <c r="D57">
        <v>97.58</v>
      </c>
      <c r="E57">
        <v>91.72</v>
      </c>
      <c r="F57">
        <v>82.25</v>
      </c>
      <c r="G57">
        <v>91.24</v>
      </c>
      <c r="H57">
        <v>98.86</v>
      </c>
      <c r="I57">
        <v>97.26</v>
      </c>
      <c r="J57">
        <v>99.02</v>
      </c>
      <c r="K57">
        <v>97.1</v>
      </c>
      <c r="L57">
        <v>97.74</v>
      </c>
      <c r="M57">
        <v>88.74</v>
      </c>
      <c r="N57">
        <v>98.22</v>
      </c>
      <c r="O57">
        <v>97.9</v>
      </c>
      <c r="P57">
        <v>99.67</v>
      </c>
      <c r="Q57">
        <v>96.62</v>
      </c>
      <c r="R57">
        <v>98.54</v>
      </c>
      <c r="S57">
        <v>97.42</v>
      </c>
      <c r="T57">
        <v>98.38</v>
      </c>
      <c r="U57">
        <v>86.56</v>
      </c>
      <c r="V57">
        <v>98.38</v>
      </c>
      <c r="W57">
        <v>96.94</v>
      </c>
      <c r="X57">
        <v>97.58</v>
      </c>
      <c r="Y57">
        <v>90.77</v>
      </c>
      <c r="Z57">
        <v>98.22</v>
      </c>
      <c r="AB57">
        <v>23</v>
      </c>
      <c r="AC57">
        <v>965</v>
      </c>
      <c r="AD57">
        <v>39</v>
      </c>
      <c r="AE57">
        <v>22.27</v>
      </c>
    </row>
    <row r="58" spans="1:31" x14ac:dyDescent="0.25">
      <c r="A58" t="s">
        <v>103</v>
      </c>
      <c r="B58">
        <v>11.1</v>
      </c>
      <c r="C58">
        <v>98.22</v>
      </c>
      <c r="D58">
        <v>98.06</v>
      </c>
      <c r="E58">
        <v>91.56</v>
      </c>
      <c r="F58">
        <v>82.4</v>
      </c>
      <c r="G58">
        <v>91.56</v>
      </c>
      <c r="H58">
        <v>99.02</v>
      </c>
      <c r="I58">
        <v>97.42</v>
      </c>
      <c r="J58">
        <v>99.18</v>
      </c>
      <c r="K58">
        <v>96.94</v>
      </c>
      <c r="L58">
        <v>98.06</v>
      </c>
      <c r="M58">
        <v>88.12</v>
      </c>
      <c r="N58">
        <v>98.54</v>
      </c>
      <c r="O58">
        <v>97.9</v>
      </c>
      <c r="P58">
        <v>99.83</v>
      </c>
      <c r="Q58">
        <v>96.78</v>
      </c>
      <c r="R58">
        <v>98.38</v>
      </c>
      <c r="S58">
        <v>97.74</v>
      </c>
      <c r="T58">
        <v>98.54</v>
      </c>
      <c r="U58">
        <v>86.56</v>
      </c>
      <c r="V58">
        <v>98.7</v>
      </c>
      <c r="W58">
        <v>97.26</v>
      </c>
      <c r="X58">
        <v>97.74</v>
      </c>
      <c r="Y58">
        <v>90.46</v>
      </c>
      <c r="Z58">
        <v>98.38</v>
      </c>
      <c r="AB58">
        <v>23</v>
      </c>
      <c r="AC58">
        <v>965</v>
      </c>
      <c r="AD58">
        <v>39</v>
      </c>
      <c r="AE58">
        <v>22.29</v>
      </c>
    </row>
    <row r="59" spans="1:31" x14ac:dyDescent="0.25">
      <c r="A59" t="s">
        <v>104</v>
      </c>
      <c r="B59">
        <v>11.35</v>
      </c>
      <c r="C59">
        <v>97.9</v>
      </c>
      <c r="D59">
        <v>97.58</v>
      </c>
      <c r="E59">
        <v>91.87</v>
      </c>
      <c r="F59">
        <v>81.94</v>
      </c>
      <c r="G59">
        <v>91.4</v>
      </c>
      <c r="H59">
        <v>98.7</v>
      </c>
      <c r="I59">
        <v>97.74</v>
      </c>
      <c r="J59">
        <v>99.18</v>
      </c>
      <c r="K59">
        <v>96.78</v>
      </c>
      <c r="L59">
        <v>97.74</v>
      </c>
      <c r="M59">
        <v>88.27</v>
      </c>
      <c r="N59">
        <v>98.7</v>
      </c>
      <c r="O59">
        <v>97.9</v>
      </c>
      <c r="P59">
        <v>99.67</v>
      </c>
      <c r="Q59">
        <v>96.62</v>
      </c>
      <c r="R59">
        <v>98.22</v>
      </c>
      <c r="S59">
        <v>97.74</v>
      </c>
      <c r="T59">
        <v>98.38</v>
      </c>
      <c r="U59">
        <v>86.56</v>
      </c>
      <c r="V59">
        <v>98.38</v>
      </c>
      <c r="W59">
        <v>96.94</v>
      </c>
      <c r="X59">
        <v>97.74</v>
      </c>
      <c r="Y59">
        <v>90.77</v>
      </c>
      <c r="Z59">
        <v>98.7</v>
      </c>
      <c r="AB59">
        <v>23</v>
      </c>
      <c r="AC59">
        <v>965</v>
      </c>
      <c r="AD59">
        <v>39</v>
      </c>
      <c r="AE59">
        <v>22.27</v>
      </c>
    </row>
    <row r="60" spans="1:31" x14ac:dyDescent="0.25">
      <c r="A60" t="s">
        <v>105</v>
      </c>
      <c r="B60">
        <v>11.6</v>
      </c>
      <c r="C60">
        <v>98.06</v>
      </c>
      <c r="D60">
        <v>97.9</v>
      </c>
      <c r="E60">
        <v>91.72</v>
      </c>
      <c r="F60">
        <v>82.1</v>
      </c>
      <c r="G60">
        <v>91.72</v>
      </c>
      <c r="H60">
        <v>99.02</v>
      </c>
      <c r="I60">
        <v>97.74</v>
      </c>
      <c r="J60">
        <v>99.02</v>
      </c>
      <c r="K60">
        <v>97.1</v>
      </c>
      <c r="L60">
        <v>97.74</v>
      </c>
      <c r="M60">
        <v>88.43</v>
      </c>
      <c r="N60">
        <v>98.54</v>
      </c>
      <c r="O60">
        <v>97.9</v>
      </c>
      <c r="P60">
        <v>99.99</v>
      </c>
      <c r="Q60">
        <v>96.62</v>
      </c>
      <c r="R60">
        <v>98.54</v>
      </c>
      <c r="S60">
        <v>97.9</v>
      </c>
      <c r="T60">
        <v>98.7</v>
      </c>
      <c r="U60">
        <v>86.72</v>
      </c>
      <c r="V60">
        <v>98.38</v>
      </c>
      <c r="W60">
        <v>96.78</v>
      </c>
      <c r="X60">
        <v>97.26</v>
      </c>
      <c r="Y60">
        <v>90.62</v>
      </c>
      <c r="Z60">
        <v>98.38</v>
      </c>
      <c r="AB60">
        <v>23</v>
      </c>
      <c r="AC60">
        <v>965</v>
      </c>
      <c r="AD60">
        <v>39</v>
      </c>
      <c r="AE60">
        <v>22.29</v>
      </c>
    </row>
    <row r="61" spans="1:31" x14ac:dyDescent="0.25">
      <c r="A61" t="s">
        <v>106</v>
      </c>
      <c r="B61">
        <v>11.85</v>
      </c>
      <c r="C61">
        <v>98.06</v>
      </c>
      <c r="D61">
        <v>97.9</v>
      </c>
      <c r="E61">
        <v>91.4</v>
      </c>
      <c r="F61">
        <v>81.64</v>
      </c>
      <c r="G61">
        <v>91.56</v>
      </c>
      <c r="H61">
        <v>98.7</v>
      </c>
      <c r="I61">
        <v>97.74</v>
      </c>
      <c r="J61">
        <v>99.02</v>
      </c>
      <c r="K61">
        <v>96.78</v>
      </c>
      <c r="L61">
        <v>97.74</v>
      </c>
      <c r="M61">
        <v>88.12</v>
      </c>
      <c r="N61">
        <v>98.86</v>
      </c>
      <c r="O61">
        <v>98.06</v>
      </c>
      <c r="P61">
        <v>99.67</v>
      </c>
      <c r="Q61">
        <v>96.62</v>
      </c>
      <c r="R61">
        <v>98.38</v>
      </c>
      <c r="S61">
        <v>97.42</v>
      </c>
      <c r="T61">
        <v>98.54</v>
      </c>
      <c r="U61">
        <v>86.72</v>
      </c>
      <c r="V61">
        <v>98.7</v>
      </c>
      <c r="W61">
        <v>97.1</v>
      </c>
      <c r="X61">
        <v>97.74</v>
      </c>
      <c r="Y61">
        <v>90.62</v>
      </c>
      <c r="Z61">
        <v>98.38</v>
      </c>
      <c r="AB61">
        <v>23</v>
      </c>
      <c r="AC61">
        <v>965</v>
      </c>
      <c r="AD61">
        <v>39</v>
      </c>
      <c r="AE61">
        <v>22.29</v>
      </c>
    </row>
    <row r="62" spans="1:31" x14ac:dyDescent="0.25">
      <c r="A62" t="s">
        <v>107</v>
      </c>
      <c r="B62">
        <v>12.1</v>
      </c>
      <c r="C62">
        <v>98.06</v>
      </c>
      <c r="D62">
        <v>97.58</v>
      </c>
      <c r="E62">
        <v>91.4</v>
      </c>
      <c r="F62">
        <v>81.64</v>
      </c>
      <c r="G62">
        <v>91.24</v>
      </c>
      <c r="H62">
        <v>98.7</v>
      </c>
      <c r="I62">
        <v>97.74</v>
      </c>
      <c r="J62">
        <v>99.18</v>
      </c>
      <c r="K62">
        <v>96.94</v>
      </c>
      <c r="L62">
        <v>97.74</v>
      </c>
      <c r="M62">
        <v>87.81</v>
      </c>
      <c r="N62">
        <v>98.54</v>
      </c>
      <c r="O62">
        <v>97.74</v>
      </c>
      <c r="P62">
        <v>99.34</v>
      </c>
      <c r="Q62">
        <v>96.94</v>
      </c>
      <c r="R62">
        <v>98.22</v>
      </c>
      <c r="S62">
        <v>97.9</v>
      </c>
      <c r="T62">
        <v>98.7</v>
      </c>
      <c r="U62">
        <v>87.03</v>
      </c>
      <c r="V62">
        <v>98.54</v>
      </c>
      <c r="W62">
        <v>96.78</v>
      </c>
      <c r="X62">
        <v>97.42</v>
      </c>
      <c r="Y62">
        <v>90.62</v>
      </c>
      <c r="Z62">
        <v>98.22</v>
      </c>
      <c r="AB62">
        <v>23</v>
      </c>
      <c r="AC62">
        <v>965</v>
      </c>
      <c r="AD62">
        <v>39</v>
      </c>
      <c r="AE62">
        <v>22.29</v>
      </c>
    </row>
    <row r="63" spans="1:31" x14ac:dyDescent="0.25">
      <c r="A63" t="s">
        <v>108</v>
      </c>
      <c r="B63">
        <v>12.35</v>
      </c>
      <c r="C63">
        <v>98.06</v>
      </c>
      <c r="D63">
        <v>97.9</v>
      </c>
      <c r="E63">
        <v>91.56</v>
      </c>
      <c r="F63">
        <v>81.790000000000006</v>
      </c>
      <c r="G63">
        <v>91.56</v>
      </c>
      <c r="H63">
        <v>98.7</v>
      </c>
      <c r="I63">
        <v>97.58</v>
      </c>
      <c r="J63">
        <v>99.18</v>
      </c>
      <c r="K63">
        <v>96.78</v>
      </c>
      <c r="L63">
        <v>97.9</v>
      </c>
      <c r="M63">
        <v>87.96</v>
      </c>
      <c r="N63">
        <v>98.7</v>
      </c>
      <c r="O63">
        <v>97.9</v>
      </c>
      <c r="P63">
        <v>99.67</v>
      </c>
      <c r="Q63">
        <v>96.62</v>
      </c>
      <c r="R63">
        <v>98.54</v>
      </c>
      <c r="S63">
        <v>97.9</v>
      </c>
      <c r="T63">
        <v>98.38</v>
      </c>
      <c r="U63">
        <v>86.87</v>
      </c>
      <c r="V63">
        <v>98.54</v>
      </c>
      <c r="W63">
        <v>96.78</v>
      </c>
      <c r="X63">
        <v>97.74</v>
      </c>
      <c r="Y63">
        <v>90.46</v>
      </c>
      <c r="Z63">
        <v>98.22</v>
      </c>
      <c r="AB63">
        <v>23</v>
      </c>
      <c r="AC63">
        <v>965</v>
      </c>
      <c r="AD63">
        <v>39</v>
      </c>
      <c r="AE63">
        <v>22.29</v>
      </c>
    </row>
    <row r="64" spans="1:31" x14ac:dyDescent="0.25">
      <c r="A64" t="s">
        <v>109</v>
      </c>
      <c r="B64">
        <v>12.6</v>
      </c>
      <c r="C64">
        <v>98.06</v>
      </c>
      <c r="D64">
        <v>97.58</v>
      </c>
      <c r="E64">
        <v>91.09</v>
      </c>
      <c r="F64">
        <v>81.64</v>
      </c>
      <c r="G64">
        <v>91.4</v>
      </c>
      <c r="H64">
        <v>98.7</v>
      </c>
      <c r="I64">
        <v>97.58</v>
      </c>
      <c r="J64">
        <v>99.02</v>
      </c>
      <c r="K64">
        <v>96.94</v>
      </c>
      <c r="L64">
        <v>97.9</v>
      </c>
      <c r="M64">
        <v>87.34</v>
      </c>
      <c r="N64">
        <v>98.38</v>
      </c>
      <c r="O64">
        <v>98.22</v>
      </c>
      <c r="P64">
        <v>99.67</v>
      </c>
      <c r="Q64">
        <v>96.78</v>
      </c>
      <c r="R64">
        <v>98.06</v>
      </c>
      <c r="S64">
        <v>97.74</v>
      </c>
      <c r="T64">
        <v>98.54</v>
      </c>
      <c r="U64">
        <v>86.56</v>
      </c>
      <c r="V64">
        <v>98.7</v>
      </c>
      <c r="W64">
        <v>96.78</v>
      </c>
      <c r="X64">
        <v>97.9</v>
      </c>
      <c r="Y64">
        <v>90.46</v>
      </c>
      <c r="Z64">
        <v>98.22</v>
      </c>
      <c r="AB64">
        <v>23</v>
      </c>
      <c r="AC64">
        <v>965</v>
      </c>
      <c r="AD64">
        <v>39</v>
      </c>
      <c r="AE64">
        <v>22.31</v>
      </c>
    </row>
    <row r="65" spans="1:31" x14ac:dyDescent="0.25">
      <c r="A65" t="s">
        <v>110</v>
      </c>
      <c r="B65">
        <v>12.87</v>
      </c>
      <c r="C65">
        <v>97.9</v>
      </c>
      <c r="D65">
        <v>97.74</v>
      </c>
      <c r="E65">
        <v>91.4</v>
      </c>
      <c r="F65">
        <v>81.64</v>
      </c>
      <c r="G65">
        <v>91.4</v>
      </c>
      <c r="H65">
        <v>99.02</v>
      </c>
      <c r="I65">
        <v>97.42</v>
      </c>
      <c r="J65">
        <v>99.18</v>
      </c>
      <c r="K65">
        <v>97.1</v>
      </c>
      <c r="L65">
        <v>97.58</v>
      </c>
      <c r="M65">
        <v>86.87</v>
      </c>
      <c r="N65">
        <v>98.38</v>
      </c>
      <c r="O65">
        <v>97.9</v>
      </c>
      <c r="P65">
        <v>99.67</v>
      </c>
      <c r="Q65">
        <v>96.78</v>
      </c>
      <c r="R65">
        <v>98.38</v>
      </c>
      <c r="S65">
        <v>97.9</v>
      </c>
      <c r="T65">
        <v>98.54</v>
      </c>
      <c r="U65">
        <v>86.72</v>
      </c>
      <c r="V65">
        <v>98.7</v>
      </c>
      <c r="W65">
        <v>96.94</v>
      </c>
      <c r="X65">
        <v>97.58</v>
      </c>
      <c r="Y65">
        <v>90.62</v>
      </c>
      <c r="Z65">
        <v>98.38</v>
      </c>
      <c r="AB65">
        <v>23</v>
      </c>
      <c r="AC65">
        <v>965</v>
      </c>
      <c r="AD65">
        <v>39</v>
      </c>
      <c r="AE65">
        <v>22.29</v>
      </c>
    </row>
    <row r="66" spans="1:31" x14ac:dyDescent="0.25">
      <c r="A66" t="s">
        <v>111</v>
      </c>
      <c r="B66">
        <v>13.1</v>
      </c>
      <c r="C66">
        <v>98.22</v>
      </c>
      <c r="D66">
        <v>97.58</v>
      </c>
      <c r="E66">
        <v>91.09</v>
      </c>
      <c r="F66">
        <v>81.48</v>
      </c>
      <c r="G66">
        <v>91.56</v>
      </c>
      <c r="H66">
        <v>98.7</v>
      </c>
      <c r="I66">
        <v>97.42</v>
      </c>
      <c r="J66">
        <v>99.02</v>
      </c>
      <c r="K66">
        <v>96.94</v>
      </c>
      <c r="L66">
        <v>97.74</v>
      </c>
      <c r="M66">
        <v>87.34</v>
      </c>
      <c r="N66">
        <v>98.54</v>
      </c>
      <c r="O66">
        <v>98.06</v>
      </c>
      <c r="P66">
        <v>99.51</v>
      </c>
      <c r="Q66">
        <v>96.47</v>
      </c>
      <c r="R66">
        <v>98.54</v>
      </c>
      <c r="S66">
        <v>97.42</v>
      </c>
      <c r="T66">
        <v>98.54</v>
      </c>
      <c r="U66">
        <v>86.72</v>
      </c>
      <c r="V66">
        <v>98.38</v>
      </c>
      <c r="W66">
        <v>96.62</v>
      </c>
      <c r="X66">
        <v>97.9</v>
      </c>
      <c r="Y66">
        <v>90.3</v>
      </c>
      <c r="Z66">
        <v>98.38</v>
      </c>
      <c r="AB66">
        <v>23</v>
      </c>
      <c r="AC66">
        <v>965</v>
      </c>
      <c r="AD66">
        <v>39</v>
      </c>
      <c r="AE66">
        <v>22.29</v>
      </c>
    </row>
    <row r="67" spans="1:31" x14ac:dyDescent="0.25">
      <c r="A67" t="s">
        <v>112</v>
      </c>
      <c r="B67">
        <v>13.37</v>
      </c>
      <c r="C67">
        <v>97.58</v>
      </c>
      <c r="D67">
        <v>97.58</v>
      </c>
      <c r="E67">
        <v>91.24</v>
      </c>
      <c r="F67">
        <v>81.48</v>
      </c>
      <c r="G67">
        <v>91.4</v>
      </c>
      <c r="H67">
        <v>98.7</v>
      </c>
      <c r="I67">
        <v>97.58</v>
      </c>
      <c r="J67">
        <v>99.18</v>
      </c>
      <c r="K67">
        <v>97.26</v>
      </c>
      <c r="L67">
        <v>97.74</v>
      </c>
      <c r="M67">
        <v>87.34</v>
      </c>
      <c r="N67">
        <v>98.38</v>
      </c>
      <c r="O67">
        <v>98.06</v>
      </c>
      <c r="P67">
        <v>99.34</v>
      </c>
      <c r="Q67">
        <v>96.31</v>
      </c>
      <c r="R67">
        <v>98.06</v>
      </c>
      <c r="S67">
        <v>97.74</v>
      </c>
      <c r="T67">
        <v>98.38</v>
      </c>
      <c r="U67">
        <v>86.56</v>
      </c>
      <c r="V67">
        <v>98.54</v>
      </c>
      <c r="W67">
        <v>96.78</v>
      </c>
      <c r="X67">
        <v>97.42</v>
      </c>
      <c r="Y67">
        <v>90.15</v>
      </c>
      <c r="Z67">
        <v>98.06</v>
      </c>
      <c r="AB67">
        <v>23</v>
      </c>
      <c r="AC67">
        <v>965</v>
      </c>
      <c r="AD67">
        <v>39</v>
      </c>
      <c r="AE67">
        <v>22.29</v>
      </c>
    </row>
    <row r="68" spans="1:31" x14ac:dyDescent="0.25">
      <c r="A68" t="s">
        <v>113</v>
      </c>
      <c r="B68">
        <v>13.62</v>
      </c>
      <c r="C68">
        <v>98.06</v>
      </c>
      <c r="D68">
        <v>97.74</v>
      </c>
      <c r="E68">
        <v>90.93</v>
      </c>
      <c r="F68">
        <v>81.48</v>
      </c>
      <c r="G68">
        <v>91.4</v>
      </c>
      <c r="H68">
        <v>98.7</v>
      </c>
      <c r="I68">
        <v>97.58</v>
      </c>
      <c r="J68">
        <v>99.02</v>
      </c>
      <c r="K68">
        <v>97.1</v>
      </c>
      <c r="L68">
        <v>97.42</v>
      </c>
      <c r="M68">
        <v>87.34</v>
      </c>
      <c r="N68">
        <v>98.38</v>
      </c>
      <c r="O68">
        <v>98.06</v>
      </c>
      <c r="P68">
        <v>99.51</v>
      </c>
      <c r="Q68">
        <v>96.47</v>
      </c>
      <c r="R68">
        <v>98.22</v>
      </c>
      <c r="S68">
        <v>97.9</v>
      </c>
      <c r="T68">
        <v>98.7</v>
      </c>
      <c r="U68">
        <v>86.41</v>
      </c>
      <c r="V68">
        <v>98.54</v>
      </c>
      <c r="W68">
        <v>96.47</v>
      </c>
      <c r="X68">
        <v>97.74</v>
      </c>
      <c r="Y68">
        <v>90.3</v>
      </c>
      <c r="Z68">
        <v>98.06</v>
      </c>
      <c r="AB68">
        <v>23</v>
      </c>
      <c r="AC68">
        <v>965</v>
      </c>
      <c r="AD68">
        <v>39</v>
      </c>
      <c r="AE68">
        <v>22.29</v>
      </c>
    </row>
    <row r="69" spans="1:31" x14ac:dyDescent="0.25">
      <c r="A69" t="s">
        <v>114</v>
      </c>
      <c r="B69">
        <v>13.87</v>
      </c>
      <c r="C69">
        <v>98.06</v>
      </c>
      <c r="D69">
        <v>97.74</v>
      </c>
      <c r="E69">
        <v>91.24</v>
      </c>
      <c r="F69">
        <v>81.48</v>
      </c>
      <c r="G69">
        <v>91.56</v>
      </c>
      <c r="H69">
        <v>98.7</v>
      </c>
      <c r="I69">
        <v>97.1</v>
      </c>
      <c r="J69">
        <v>99.18</v>
      </c>
      <c r="K69">
        <v>96.94</v>
      </c>
      <c r="L69">
        <v>97.74</v>
      </c>
      <c r="M69">
        <v>87.18</v>
      </c>
      <c r="N69">
        <v>98.54</v>
      </c>
      <c r="O69">
        <v>98.06</v>
      </c>
      <c r="P69">
        <v>99.83</v>
      </c>
      <c r="Q69">
        <v>96.31</v>
      </c>
      <c r="R69">
        <v>98.38</v>
      </c>
      <c r="S69">
        <v>97.42</v>
      </c>
      <c r="T69">
        <v>98.54</v>
      </c>
      <c r="U69">
        <v>86.56</v>
      </c>
      <c r="V69">
        <v>98.7</v>
      </c>
      <c r="W69">
        <v>96.62</v>
      </c>
      <c r="X69">
        <v>97.58</v>
      </c>
      <c r="Y69">
        <v>90.3</v>
      </c>
      <c r="Z69">
        <v>98.22</v>
      </c>
      <c r="AB69">
        <v>23</v>
      </c>
      <c r="AC69">
        <v>965</v>
      </c>
      <c r="AD69">
        <v>39</v>
      </c>
      <c r="AE69">
        <v>22.31</v>
      </c>
    </row>
    <row r="70" spans="1:31" x14ac:dyDescent="0.25">
      <c r="A70" t="s">
        <v>115</v>
      </c>
      <c r="B70">
        <v>14.12</v>
      </c>
      <c r="C70">
        <v>98.06</v>
      </c>
      <c r="D70">
        <v>97.74</v>
      </c>
      <c r="E70">
        <v>91.24</v>
      </c>
      <c r="F70">
        <v>81.48</v>
      </c>
      <c r="G70">
        <v>91.56</v>
      </c>
      <c r="H70">
        <v>98.86</v>
      </c>
      <c r="I70">
        <v>97.26</v>
      </c>
      <c r="J70">
        <v>98.86</v>
      </c>
      <c r="K70">
        <v>97.1</v>
      </c>
      <c r="L70">
        <v>97.58</v>
      </c>
      <c r="M70">
        <v>87.03</v>
      </c>
      <c r="N70">
        <v>98.54</v>
      </c>
      <c r="O70">
        <v>97.9</v>
      </c>
      <c r="P70">
        <v>99.51</v>
      </c>
      <c r="Q70">
        <v>96.62</v>
      </c>
      <c r="R70">
        <v>98.54</v>
      </c>
      <c r="S70">
        <v>98.06</v>
      </c>
      <c r="T70">
        <v>98.7</v>
      </c>
      <c r="U70">
        <v>86.25</v>
      </c>
      <c r="V70">
        <v>98.38</v>
      </c>
      <c r="W70">
        <v>96.78</v>
      </c>
      <c r="X70">
        <v>97.9</v>
      </c>
      <c r="Y70">
        <v>90.3</v>
      </c>
      <c r="Z70">
        <v>98.22</v>
      </c>
      <c r="AB70">
        <v>23</v>
      </c>
      <c r="AC70">
        <v>965</v>
      </c>
      <c r="AD70">
        <v>39</v>
      </c>
      <c r="AE70">
        <v>22.31</v>
      </c>
    </row>
    <row r="71" spans="1:31" x14ac:dyDescent="0.25">
      <c r="A71" t="s">
        <v>116</v>
      </c>
      <c r="B71">
        <v>14.37</v>
      </c>
      <c r="C71">
        <v>98.06</v>
      </c>
      <c r="D71">
        <v>97.9</v>
      </c>
      <c r="E71">
        <v>91.24</v>
      </c>
      <c r="F71">
        <v>81.48</v>
      </c>
      <c r="G71">
        <v>91.4</v>
      </c>
      <c r="H71">
        <v>98.7</v>
      </c>
      <c r="I71">
        <v>97.26</v>
      </c>
      <c r="J71">
        <v>99.18</v>
      </c>
      <c r="K71">
        <v>97.1</v>
      </c>
      <c r="L71">
        <v>97.74</v>
      </c>
      <c r="M71">
        <v>86.87</v>
      </c>
      <c r="N71">
        <v>98.38</v>
      </c>
      <c r="O71">
        <v>97.9</v>
      </c>
      <c r="P71">
        <v>99.51</v>
      </c>
      <c r="Q71">
        <v>96.47</v>
      </c>
      <c r="R71">
        <v>97.9</v>
      </c>
      <c r="S71">
        <v>97.74</v>
      </c>
      <c r="T71">
        <v>98.54</v>
      </c>
      <c r="U71">
        <v>86.25</v>
      </c>
      <c r="V71">
        <v>98.7</v>
      </c>
      <c r="W71">
        <v>96.94</v>
      </c>
      <c r="X71">
        <v>97.58</v>
      </c>
      <c r="Y71">
        <v>90.3</v>
      </c>
      <c r="Z71">
        <v>98.54</v>
      </c>
      <c r="AB71">
        <v>23</v>
      </c>
      <c r="AC71">
        <v>965</v>
      </c>
      <c r="AD71">
        <v>39</v>
      </c>
      <c r="AE71">
        <v>22.31</v>
      </c>
    </row>
    <row r="72" spans="1:31" x14ac:dyDescent="0.25">
      <c r="A72" t="s">
        <v>117</v>
      </c>
      <c r="B72">
        <v>14.62</v>
      </c>
      <c r="C72">
        <v>98.38</v>
      </c>
      <c r="D72">
        <v>97.74</v>
      </c>
      <c r="E72">
        <v>90.77</v>
      </c>
      <c r="F72">
        <v>81.33</v>
      </c>
      <c r="G72">
        <v>91.72</v>
      </c>
      <c r="H72">
        <v>98.86</v>
      </c>
      <c r="I72">
        <v>97.42</v>
      </c>
      <c r="J72">
        <v>99.18</v>
      </c>
      <c r="K72">
        <v>97.26</v>
      </c>
      <c r="L72">
        <v>97.9</v>
      </c>
      <c r="M72">
        <v>87.03</v>
      </c>
      <c r="N72">
        <v>98.38</v>
      </c>
      <c r="O72">
        <v>98.06</v>
      </c>
      <c r="P72">
        <v>99.34</v>
      </c>
      <c r="Q72">
        <v>96.47</v>
      </c>
      <c r="R72">
        <v>98.38</v>
      </c>
      <c r="S72">
        <v>97.74</v>
      </c>
      <c r="T72">
        <v>98.7</v>
      </c>
      <c r="U72">
        <v>86.25</v>
      </c>
      <c r="V72">
        <v>98.7</v>
      </c>
      <c r="W72">
        <v>96.62</v>
      </c>
      <c r="X72">
        <v>98.06</v>
      </c>
      <c r="Y72">
        <v>90.46</v>
      </c>
      <c r="Z72">
        <v>98.38</v>
      </c>
      <c r="AB72">
        <v>23</v>
      </c>
      <c r="AC72">
        <v>965</v>
      </c>
      <c r="AD72">
        <v>39</v>
      </c>
      <c r="AE72">
        <v>22.31</v>
      </c>
    </row>
    <row r="73" spans="1:31" x14ac:dyDescent="0.25">
      <c r="A73" t="s">
        <v>118</v>
      </c>
      <c r="B73">
        <v>14.87</v>
      </c>
      <c r="C73">
        <v>98.22</v>
      </c>
      <c r="D73">
        <v>97.58</v>
      </c>
      <c r="E73">
        <v>91.09</v>
      </c>
      <c r="F73">
        <v>81.33</v>
      </c>
      <c r="G73">
        <v>91.4</v>
      </c>
      <c r="H73">
        <v>98.7</v>
      </c>
      <c r="I73">
        <v>97.26</v>
      </c>
      <c r="J73">
        <v>99.18</v>
      </c>
      <c r="K73">
        <v>97.1</v>
      </c>
      <c r="L73">
        <v>97.74</v>
      </c>
      <c r="M73">
        <v>87.03</v>
      </c>
      <c r="N73">
        <v>98.38</v>
      </c>
      <c r="O73">
        <v>98.06</v>
      </c>
      <c r="P73">
        <v>99.34</v>
      </c>
      <c r="Q73">
        <v>96.31</v>
      </c>
      <c r="R73">
        <v>98.38</v>
      </c>
      <c r="S73">
        <v>97.74</v>
      </c>
      <c r="T73">
        <v>98.54</v>
      </c>
      <c r="U73">
        <v>86.56</v>
      </c>
      <c r="V73">
        <v>98.54</v>
      </c>
      <c r="W73">
        <v>96.94</v>
      </c>
      <c r="X73">
        <v>97.9</v>
      </c>
      <c r="Y73">
        <v>90.46</v>
      </c>
      <c r="Z73">
        <v>98.54</v>
      </c>
      <c r="AB73">
        <v>23</v>
      </c>
      <c r="AC73">
        <v>965</v>
      </c>
      <c r="AD73">
        <v>39</v>
      </c>
      <c r="AE73">
        <v>22.29</v>
      </c>
    </row>
    <row r="74" spans="1:31" x14ac:dyDescent="0.25">
      <c r="A74" t="s">
        <v>119</v>
      </c>
      <c r="B74">
        <v>15.12</v>
      </c>
      <c r="C74">
        <v>98.06</v>
      </c>
      <c r="D74">
        <v>97.74</v>
      </c>
      <c r="E74">
        <v>91.4</v>
      </c>
      <c r="F74">
        <v>81.48</v>
      </c>
      <c r="G74">
        <v>91.56</v>
      </c>
      <c r="H74">
        <v>98.7</v>
      </c>
      <c r="I74">
        <v>97.42</v>
      </c>
      <c r="J74">
        <v>98.7</v>
      </c>
      <c r="K74">
        <v>96.78</v>
      </c>
      <c r="L74">
        <v>97.74</v>
      </c>
      <c r="M74">
        <v>86.56</v>
      </c>
      <c r="N74">
        <v>98.38</v>
      </c>
      <c r="O74">
        <v>98.06</v>
      </c>
      <c r="P74">
        <v>99.67</v>
      </c>
      <c r="Q74">
        <v>96.31</v>
      </c>
      <c r="R74">
        <v>98.54</v>
      </c>
      <c r="S74">
        <v>97.9</v>
      </c>
      <c r="T74">
        <v>98.7</v>
      </c>
      <c r="U74">
        <v>86.41</v>
      </c>
      <c r="V74">
        <v>98.54</v>
      </c>
      <c r="W74">
        <v>96.62</v>
      </c>
      <c r="X74">
        <v>97.74</v>
      </c>
      <c r="Y74">
        <v>89.99</v>
      </c>
      <c r="Z74">
        <v>98.38</v>
      </c>
      <c r="AB74">
        <v>23</v>
      </c>
      <c r="AC74">
        <v>965</v>
      </c>
      <c r="AD74">
        <v>39</v>
      </c>
      <c r="AE74">
        <v>22.31</v>
      </c>
    </row>
    <row r="75" spans="1:31" x14ac:dyDescent="0.25">
      <c r="A75" t="s">
        <v>120</v>
      </c>
      <c r="B75">
        <v>15.37</v>
      </c>
      <c r="C75">
        <v>98.22</v>
      </c>
      <c r="D75">
        <v>98.06</v>
      </c>
      <c r="E75">
        <v>91.09</v>
      </c>
      <c r="F75">
        <v>81.33</v>
      </c>
      <c r="G75">
        <v>91.56</v>
      </c>
      <c r="H75">
        <v>98.86</v>
      </c>
      <c r="I75">
        <v>97.1</v>
      </c>
      <c r="J75">
        <v>99.18</v>
      </c>
      <c r="K75">
        <v>97.1</v>
      </c>
      <c r="L75">
        <v>97.74</v>
      </c>
      <c r="M75">
        <v>86.56</v>
      </c>
      <c r="N75">
        <v>98.38</v>
      </c>
      <c r="O75">
        <v>98.38</v>
      </c>
      <c r="P75">
        <v>99.83</v>
      </c>
      <c r="Q75">
        <v>96.78</v>
      </c>
      <c r="R75">
        <v>98.22</v>
      </c>
      <c r="S75">
        <v>97.9</v>
      </c>
      <c r="T75">
        <v>98.54</v>
      </c>
      <c r="U75">
        <v>86.25</v>
      </c>
      <c r="V75">
        <v>98.7</v>
      </c>
      <c r="W75">
        <v>96.62</v>
      </c>
      <c r="X75">
        <v>97.9</v>
      </c>
      <c r="Y75">
        <v>90.3</v>
      </c>
      <c r="Z75">
        <v>98.06</v>
      </c>
      <c r="AB75">
        <v>23</v>
      </c>
      <c r="AC75">
        <v>965</v>
      </c>
      <c r="AD75">
        <v>39</v>
      </c>
      <c r="AE75">
        <v>22.31</v>
      </c>
    </row>
    <row r="76" spans="1:31" x14ac:dyDescent="0.25">
      <c r="A76" t="s">
        <v>121</v>
      </c>
      <c r="B76">
        <v>15.62</v>
      </c>
      <c r="C76">
        <v>98.22</v>
      </c>
      <c r="D76">
        <v>97.42</v>
      </c>
      <c r="E76">
        <v>91.09</v>
      </c>
      <c r="F76">
        <v>81.33</v>
      </c>
      <c r="G76">
        <v>91.4</v>
      </c>
      <c r="H76">
        <v>98.7</v>
      </c>
      <c r="I76">
        <v>97.42</v>
      </c>
      <c r="J76">
        <v>99.34</v>
      </c>
      <c r="K76">
        <v>97.1</v>
      </c>
      <c r="L76">
        <v>97.58</v>
      </c>
      <c r="M76">
        <v>86.72</v>
      </c>
      <c r="N76">
        <v>98.54</v>
      </c>
      <c r="O76">
        <v>98.22</v>
      </c>
      <c r="P76">
        <v>99.67</v>
      </c>
      <c r="Q76">
        <v>96.47</v>
      </c>
      <c r="R76">
        <v>98.06</v>
      </c>
      <c r="S76">
        <v>97.9</v>
      </c>
      <c r="T76">
        <v>98.7</v>
      </c>
      <c r="U76">
        <v>86.25</v>
      </c>
      <c r="V76">
        <v>98.7</v>
      </c>
      <c r="W76">
        <v>96.47</v>
      </c>
      <c r="X76">
        <v>97.74</v>
      </c>
      <c r="Y76">
        <v>90.15</v>
      </c>
      <c r="Z76">
        <v>98.38</v>
      </c>
      <c r="AB76">
        <v>23</v>
      </c>
      <c r="AC76">
        <v>965</v>
      </c>
      <c r="AD76">
        <v>39</v>
      </c>
      <c r="AE76">
        <v>22.29</v>
      </c>
    </row>
    <row r="77" spans="1:31" x14ac:dyDescent="0.25">
      <c r="A77" t="s">
        <v>122</v>
      </c>
      <c r="B77">
        <v>15.87</v>
      </c>
      <c r="C77">
        <v>98.22</v>
      </c>
      <c r="D77">
        <v>97.58</v>
      </c>
      <c r="E77">
        <v>90.93</v>
      </c>
      <c r="F77">
        <v>81.33</v>
      </c>
      <c r="G77">
        <v>91.24</v>
      </c>
      <c r="H77">
        <v>99.02</v>
      </c>
      <c r="I77">
        <v>97.58</v>
      </c>
      <c r="J77">
        <v>98.86</v>
      </c>
      <c r="K77">
        <v>97.1</v>
      </c>
      <c r="L77">
        <v>97.58</v>
      </c>
      <c r="M77">
        <v>86.56</v>
      </c>
      <c r="N77">
        <v>98.54</v>
      </c>
      <c r="O77">
        <v>97.9</v>
      </c>
      <c r="P77">
        <v>99.34</v>
      </c>
      <c r="Q77">
        <v>96.62</v>
      </c>
      <c r="R77">
        <v>98.22</v>
      </c>
      <c r="S77">
        <v>97.74</v>
      </c>
      <c r="T77">
        <v>98.7</v>
      </c>
      <c r="U77">
        <v>86.41</v>
      </c>
      <c r="V77">
        <v>98.54</v>
      </c>
      <c r="W77">
        <v>96.78</v>
      </c>
      <c r="X77">
        <v>97.9</v>
      </c>
      <c r="Y77">
        <v>90.46</v>
      </c>
      <c r="Z77">
        <v>98.38</v>
      </c>
      <c r="AB77">
        <v>23</v>
      </c>
      <c r="AC77">
        <v>965</v>
      </c>
      <c r="AD77">
        <v>39</v>
      </c>
      <c r="AE77">
        <v>22.31</v>
      </c>
    </row>
    <row r="78" spans="1:31" x14ac:dyDescent="0.25">
      <c r="A78" t="s">
        <v>123</v>
      </c>
      <c r="B78">
        <v>16.12</v>
      </c>
      <c r="C78">
        <v>98.22</v>
      </c>
      <c r="D78">
        <v>97.9</v>
      </c>
      <c r="E78">
        <v>90.93</v>
      </c>
      <c r="F78">
        <v>81.180000000000007</v>
      </c>
      <c r="G78">
        <v>91.4</v>
      </c>
      <c r="H78">
        <v>98.86</v>
      </c>
      <c r="I78">
        <v>97.26</v>
      </c>
      <c r="J78">
        <v>98.86</v>
      </c>
      <c r="K78">
        <v>96.94</v>
      </c>
      <c r="L78">
        <v>97.58</v>
      </c>
      <c r="M78">
        <v>86.72</v>
      </c>
      <c r="N78">
        <v>98.22</v>
      </c>
      <c r="O78">
        <v>98.06</v>
      </c>
      <c r="P78">
        <v>99.18</v>
      </c>
      <c r="Q78">
        <v>96.15</v>
      </c>
      <c r="R78">
        <v>98.54</v>
      </c>
      <c r="S78">
        <v>97.9</v>
      </c>
      <c r="T78">
        <v>98.86</v>
      </c>
      <c r="U78">
        <v>86.1</v>
      </c>
      <c r="V78">
        <v>98.7</v>
      </c>
      <c r="W78">
        <v>97.1</v>
      </c>
      <c r="X78">
        <v>97.42</v>
      </c>
      <c r="Y78">
        <v>90.3</v>
      </c>
      <c r="Z78">
        <v>98.22</v>
      </c>
      <c r="AB78">
        <v>23</v>
      </c>
      <c r="AC78">
        <v>965</v>
      </c>
      <c r="AD78">
        <v>39</v>
      </c>
      <c r="AE78">
        <v>22.31</v>
      </c>
    </row>
    <row r="79" spans="1:31" x14ac:dyDescent="0.25">
      <c r="A79" t="s">
        <v>124</v>
      </c>
      <c r="B79">
        <v>16.37</v>
      </c>
      <c r="C79">
        <v>98.06</v>
      </c>
      <c r="D79">
        <v>97.9</v>
      </c>
      <c r="E79">
        <v>91.09</v>
      </c>
      <c r="F79">
        <v>81.48</v>
      </c>
      <c r="G79">
        <v>91.56</v>
      </c>
      <c r="H79">
        <v>98.86</v>
      </c>
      <c r="I79">
        <v>97.26</v>
      </c>
      <c r="J79">
        <v>99.18</v>
      </c>
      <c r="K79">
        <v>97.26</v>
      </c>
      <c r="L79">
        <v>97.74</v>
      </c>
      <c r="M79">
        <v>86.41</v>
      </c>
      <c r="N79">
        <v>98.38</v>
      </c>
      <c r="O79">
        <v>97.9</v>
      </c>
      <c r="P79">
        <v>99.67</v>
      </c>
      <c r="Q79">
        <v>96.47</v>
      </c>
      <c r="R79">
        <v>97.9</v>
      </c>
      <c r="S79">
        <v>97.9</v>
      </c>
      <c r="T79">
        <v>98.54</v>
      </c>
      <c r="U79">
        <v>85.94</v>
      </c>
      <c r="V79">
        <v>98.54</v>
      </c>
      <c r="W79">
        <v>96.47</v>
      </c>
      <c r="X79">
        <v>97.9</v>
      </c>
      <c r="Y79">
        <v>90.3</v>
      </c>
      <c r="Z79">
        <v>98.38</v>
      </c>
      <c r="AB79">
        <v>23</v>
      </c>
      <c r="AC79">
        <v>965</v>
      </c>
      <c r="AD79">
        <v>39</v>
      </c>
      <c r="AE79">
        <v>22.31</v>
      </c>
    </row>
    <row r="80" spans="1:31" x14ac:dyDescent="0.25">
      <c r="A80" t="s">
        <v>125</v>
      </c>
      <c r="B80">
        <v>16.62</v>
      </c>
      <c r="C80">
        <v>98.06</v>
      </c>
      <c r="D80">
        <v>97.74</v>
      </c>
      <c r="E80">
        <v>90.77</v>
      </c>
      <c r="F80">
        <v>81.33</v>
      </c>
      <c r="G80">
        <v>91.56</v>
      </c>
      <c r="H80">
        <v>98.86</v>
      </c>
      <c r="I80">
        <v>97.42</v>
      </c>
      <c r="J80">
        <v>98.86</v>
      </c>
      <c r="K80">
        <v>96.94</v>
      </c>
      <c r="L80">
        <v>97.42</v>
      </c>
      <c r="M80">
        <v>86.25</v>
      </c>
      <c r="N80">
        <v>98.54</v>
      </c>
      <c r="O80">
        <v>97.9</v>
      </c>
      <c r="P80">
        <v>99.34</v>
      </c>
      <c r="Q80">
        <v>96.47</v>
      </c>
      <c r="R80">
        <v>97.9</v>
      </c>
      <c r="S80">
        <v>97.58</v>
      </c>
      <c r="T80">
        <v>98.54</v>
      </c>
      <c r="U80">
        <v>85.79</v>
      </c>
      <c r="V80">
        <v>98.54</v>
      </c>
      <c r="W80">
        <v>96.47</v>
      </c>
      <c r="X80">
        <v>97.58</v>
      </c>
      <c r="Y80">
        <v>90.15</v>
      </c>
      <c r="Z80">
        <v>98.06</v>
      </c>
      <c r="AB80">
        <v>23</v>
      </c>
      <c r="AC80">
        <v>965</v>
      </c>
      <c r="AD80">
        <v>39</v>
      </c>
      <c r="AE80">
        <v>22.31</v>
      </c>
    </row>
    <row r="81" spans="1:31" x14ac:dyDescent="0.25">
      <c r="A81" t="s">
        <v>126</v>
      </c>
      <c r="B81">
        <v>16.87</v>
      </c>
      <c r="C81">
        <v>98.06</v>
      </c>
      <c r="D81">
        <v>97.74</v>
      </c>
      <c r="E81">
        <v>90.62</v>
      </c>
      <c r="F81">
        <v>81.03</v>
      </c>
      <c r="G81">
        <v>91.56</v>
      </c>
      <c r="H81">
        <v>98.7</v>
      </c>
      <c r="I81">
        <v>97.1</v>
      </c>
      <c r="J81">
        <v>99.02</v>
      </c>
      <c r="K81">
        <v>96.78</v>
      </c>
      <c r="L81">
        <v>97.58</v>
      </c>
      <c r="M81">
        <v>86.41</v>
      </c>
      <c r="N81">
        <v>98.54</v>
      </c>
      <c r="O81">
        <v>97.74</v>
      </c>
      <c r="P81">
        <v>99.18</v>
      </c>
      <c r="Q81">
        <v>96.31</v>
      </c>
      <c r="R81">
        <v>98.22</v>
      </c>
      <c r="S81">
        <v>98.06</v>
      </c>
      <c r="T81">
        <v>98.7</v>
      </c>
      <c r="U81">
        <v>86.1</v>
      </c>
      <c r="V81">
        <v>98.22</v>
      </c>
      <c r="W81">
        <v>96.62</v>
      </c>
      <c r="X81">
        <v>97.42</v>
      </c>
      <c r="Y81">
        <v>90.3</v>
      </c>
      <c r="Z81">
        <v>98.06</v>
      </c>
      <c r="AB81">
        <v>23</v>
      </c>
      <c r="AC81">
        <v>965</v>
      </c>
      <c r="AD81">
        <v>39</v>
      </c>
      <c r="AE81">
        <v>22.31</v>
      </c>
    </row>
    <row r="82" spans="1:31" x14ac:dyDescent="0.25">
      <c r="A82" t="s">
        <v>127</v>
      </c>
      <c r="B82">
        <v>17.12</v>
      </c>
      <c r="C82">
        <v>98.06</v>
      </c>
      <c r="D82">
        <v>97.42</v>
      </c>
      <c r="E82">
        <v>90.77</v>
      </c>
      <c r="F82">
        <v>81.03</v>
      </c>
      <c r="G82">
        <v>91.56</v>
      </c>
      <c r="H82">
        <v>98.86</v>
      </c>
      <c r="I82">
        <v>97.1</v>
      </c>
      <c r="J82">
        <v>99.02</v>
      </c>
      <c r="K82">
        <v>97.1</v>
      </c>
      <c r="L82">
        <v>97.58</v>
      </c>
      <c r="M82">
        <v>86.25</v>
      </c>
      <c r="N82">
        <v>98.54</v>
      </c>
      <c r="O82">
        <v>97.74</v>
      </c>
      <c r="P82">
        <v>99.18</v>
      </c>
      <c r="Q82">
        <v>96.47</v>
      </c>
      <c r="R82">
        <v>97.9</v>
      </c>
      <c r="S82">
        <v>97.74</v>
      </c>
      <c r="T82">
        <v>98.7</v>
      </c>
      <c r="U82">
        <v>85.79</v>
      </c>
      <c r="V82">
        <v>98.38</v>
      </c>
      <c r="W82">
        <v>96.62</v>
      </c>
      <c r="X82">
        <v>97.9</v>
      </c>
      <c r="Y82">
        <v>90.3</v>
      </c>
      <c r="Z82">
        <v>98.38</v>
      </c>
      <c r="AB82">
        <v>23</v>
      </c>
      <c r="AC82">
        <v>965</v>
      </c>
      <c r="AD82">
        <v>39</v>
      </c>
      <c r="AE82">
        <v>22.31</v>
      </c>
    </row>
    <row r="83" spans="1:31" x14ac:dyDescent="0.25">
      <c r="A83" t="s">
        <v>128</v>
      </c>
      <c r="B83">
        <v>17.37</v>
      </c>
      <c r="C83">
        <v>98.06</v>
      </c>
      <c r="D83">
        <v>97.74</v>
      </c>
      <c r="E83">
        <v>90.77</v>
      </c>
      <c r="F83">
        <v>81.03</v>
      </c>
      <c r="G83">
        <v>91.24</v>
      </c>
      <c r="H83">
        <v>98.54</v>
      </c>
      <c r="I83">
        <v>97.42</v>
      </c>
      <c r="J83">
        <v>99.02</v>
      </c>
      <c r="K83">
        <v>97.26</v>
      </c>
      <c r="L83">
        <v>97.42</v>
      </c>
      <c r="M83">
        <v>86.25</v>
      </c>
      <c r="N83">
        <v>98.54</v>
      </c>
      <c r="O83">
        <v>97.9</v>
      </c>
      <c r="P83">
        <v>99.02</v>
      </c>
      <c r="Q83">
        <v>96.15</v>
      </c>
      <c r="R83">
        <v>98.06</v>
      </c>
      <c r="S83">
        <v>97.74</v>
      </c>
      <c r="T83">
        <v>98.7</v>
      </c>
      <c r="U83">
        <v>86.1</v>
      </c>
      <c r="V83">
        <v>98.54</v>
      </c>
      <c r="W83">
        <v>96.62</v>
      </c>
      <c r="X83">
        <v>97.74</v>
      </c>
      <c r="Y83">
        <v>90.3</v>
      </c>
      <c r="Z83">
        <v>98.06</v>
      </c>
      <c r="AB83">
        <v>23</v>
      </c>
      <c r="AC83">
        <v>965</v>
      </c>
      <c r="AD83">
        <v>39</v>
      </c>
      <c r="AE83">
        <v>22.31</v>
      </c>
    </row>
    <row r="84" spans="1:31" x14ac:dyDescent="0.25">
      <c r="A84" t="s">
        <v>129</v>
      </c>
      <c r="B84">
        <v>17.63</v>
      </c>
      <c r="C84">
        <v>98.06</v>
      </c>
      <c r="D84">
        <v>97.74</v>
      </c>
      <c r="E84">
        <v>90.77</v>
      </c>
      <c r="F84">
        <v>80.87</v>
      </c>
      <c r="G84">
        <v>91.4</v>
      </c>
      <c r="H84">
        <v>98.86</v>
      </c>
      <c r="I84">
        <v>97.26</v>
      </c>
      <c r="J84">
        <v>99.02</v>
      </c>
      <c r="K84">
        <v>96.94</v>
      </c>
      <c r="L84">
        <v>97.58</v>
      </c>
      <c r="M84">
        <v>86.25</v>
      </c>
      <c r="N84">
        <v>98.22</v>
      </c>
      <c r="O84">
        <v>97.58</v>
      </c>
      <c r="P84">
        <v>99.18</v>
      </c>
      <c r="Q84">
        <v>96.31</v>
      </c>
      <c r="R84">
        <v>98.22</v>
      </c>
      <c r="S84">
        <v>97.9</v>
      </c>
      <c r="T84">
        <v>98.7</v>
      </c>
      <c r="U84">
        <v>85.94</v>
      </c>
      <c r="V84">
        <v>98.7</v>
      </c>
      <c r="W84">
        <v>96.78</v>
      </c>
      <c r="X84">
        <v>97.58</v>
      </c>
      <c r="Y84">
        <v>90.3</v>
      </c>
      <c r="Z84">
        <v>98.22</v>
      </c>
      <c r="AB84">
        <v>23</v>
      </c>
      <c r="AC84">
        <v>965</v>
      </c>
      <c r="AD84">
        <v>39</v>
      </c>
      <c r="AE84">
        <v>22.33</v>
      </c>
    </row>
    <row r="85" spans="1:31" x14ac:dyDescent="0.25">
      <c r="A85" t="s">
        <v>130</v>
      </c>
      <c r="B85">
        <v>17.88</v>
      </c>
      <c r="C85">
        <v>97.9</v>
      </c>
      <c r="D85">
        <v>97.9</v>
      </c>
      <c r="E85">
        <v>90.62</v>
      </c>
      <c r="F85">
        <v>80.72</v>
      </c>
      <c r="G85">
        <v>91.4</v>
      </c>
      <c r="H85">
        <v>98.7</v>
      </c>
      <c r="I85">
        <v>96.78</v>
      </c>
      <c r="J85">
        <v>98.86</v>
      </c>
      <c r="K85">
        <v>97.26</v>
      </c>
      <c r="L85">
        <v>97.42</v>
      </c>
      <c r="M85">
        <v>85.79</v>
      </c>
      <c r="N85">
        <v>98.38</v>
      </c>
      <c r="O85">
        <v>97.74</v>
      </c>
      <c r="P85">
        <v>99.34</v>
      </c>
      <c r="Q85">
        <v>96.47</v>
      </c>
      <c r="R85">
        <v>98.22</v>
      </c>
      <c r="S85">
        <v>97.42</v>
      </c>
      <c r="T85">
        <v>98.38</v>
      </c>
      <c r="U85">
        <v>85.63</v>
      </c>
      <c r="V85">
        <v>98.38</v>
      </c>
      <c r="W85">
        <v>96.62</v>
      </c>
      <c r="X85">
        <v>97.58</v>
      </c>
      <c r="Y85">
        <v>89.99</v>
      </c>
      <c r="Z85">
        <v>98.06</v>
      </c>
      <c r="AB85">
        <v>23</v>
      </c>
      <c r="AC85">
        <v>965</v>
      </c>
      <c r="AD85">
        <v>39</v>
      </c>
      <c r="AE85">
        <v>22.31</v>
      </c>
    </row>
    <row r="86" spans="1:31" x14ac:dyDescent="0.25">
      <c r="A86" t="s">
        <v>131</v>
      </c>
      <c r="B86">
        <v>18.13</v>
      </c>
      <c r="C86">
        <v>98.22</v>
      </c>
      <c r="D86">
        <v>97.58</v>
      </c>
      <c r="E86">
        <v>90.93</v>
      </c>
      <c r="F86">
        <v>80.87</v>
      </c>
      <c r="G86">
        <v>91.56</v>
      </c>
      <c r="H86">
        <v>98.86</v>
      </c>
      <c r="I86">
        <v>97.26</v>
      </c>
      <c r="J86">
        <v>99.02</v>
      </c>
      <c r="K86">
        <v>97.26</v>
      </c>
      <c r="L86">
        <v>97.42</v>
      </c>
      <c r="M86">
        <v>86.25</v>
      </c>
      <c r="N86">
        <v>98.38</v>
      </c>
      <c r="O86">
        <v>97.74</v>
      </c>
      <c r="P86">
        <v>99.51</v>
      </c>
      <c r="Q86">
        <v>96.47</v>
      </c>
      <c r="R86">
        <v>98.22</v>
      </c>
      <c r="S86">
        <v>97.9</v>
      </c>
      <c r="T86">
        <v>98.54</v>
      </c>
      <c r="U86">
        <v>85.94</v>
      </c>
      <c r="V86">
        <v>98.38</v>
      </c>
      <c r="W86">
        <v>96.78</v>
      </c>
      <c r="X86">
        <v>97.9</v>
      </c>
      <c r="Y86">
        <v>90.3</v>
      </c>
      <c r="Z86">
        <v>98.22</v>
      </c>
      <c r="AB86">
        <v>23</v>
      </c>
      <c r="AC86">
        <v>965</v>
      </c>
      <c r="AD86">
        <v>39</v>
      </c>
      <c r="AE86">
        <v>22.31</v>
      </c>
    </row>
    <row r="87" spans="1:31" x14ac:dyDescent="0.25">
      <c r="A87" t="s">
        <v>132</v>
      </c>
      <c r="B87">
        <v>18.38</v>
      </c>
      <c r="C87">
        <v>98.22</v>
      </c>
      <c r="D87">
        <v>97.58</v>
      </c>
      <c r="E87">
        <v>90.62</v>
      </c>
      <c r="F87">
        <v>81.180000000000007</v>
      </c>
      <c r="G87">
        <v>91.56</v>
      </c>
      <c r="H87">
        <v>98.7</v>
      </c>
      <c r="I87">
        <v>97.1</v>
      </c>
      <c r="J87">
        <v>99.34</v>
      </c>
      <c r="K87">
        <v>96.78</v>
      </c>
      <c r="L87">
        <v>97.58</v>
      </c>
      <c r="M87">
        <v>85.79</v>
      </c>
      <c r="N87">
        <v>98.38</v>
      </c>
      <c r="O87">
        <v>98.06</v>
      </c>
      <c r="P87">
        <v>99.51</v>
      </c>
      <c r="Q87">
        <v>96.31</v>
      </c>
      <c r="R87">
        <v>98.22</v>
      </c>
      <c r="S87">
        <v>97.74</v>
      </c>
      <c r="T87">
        <v>98.7</v>
      </c>
      <c r="U87">
        <v>85.79</v>
      </c>
      <c r="V87">
        <v>98.86</v>
      </c>
      <c r="W87">
        <v>96.62</v>
      </c>
      <c r="X87">
        <v>97.26</v>
      </c>
      <c r="Y87">
        <v>89.83</v>
      </c>
      <c r="Z87">
        <v>98.54</v>
      </c>
      <c r="AB87">
        <v>23</v>
      </c>
      <c r="AC87">
        <v>965</v>
      </c>
      <c r="AD87">
        <v>39</v>
      </c>
      <c r="AE87">
        <v>22.31</v>
      </c>
    </row>
    <row r="88" spans="1:31" x14ac:dyDescent="0.25">
      <c r="A88" t="s">
        <v>133</v>
      </c>
      <c r="B88">
        <v>18.63</v>
      </c>
      <c r="C88">
        <v>97.9</v>
      </c>
      <c r="D88">
        <v>97.9</v>
      </c>
      <c r="E88">
        <v>90.46</v>
      </c>
      <c r="F88">
        <v>80.87</v>
      </c>
      <c r="G88">
        <v>91.4</v>
      </c>
      <c r="H88">
        <v>98.86</v>
      </c>
      <c r="I88">
        <v>97.42</v>
      </c>
      <c r="J88">
        <v>99.51</v>
      </c>
      <c r="K88">
        <v>97.26</v>
      </c>
      <c r="L88">
        <v>97.26</v>
      </c>
      <c r="M88">
        <v>85.94</v>
      </c>
      <c r="N88">
        <v>98.54</v>
      </c>
      <c r="O88">
        <v>97.74</v>
      </c>
      <c r="P88">
        <v>99.67</v>
      </c>
      <c r="Q88">
        <v>96.47</v>
      </c>
      <c r="R88">
        <v>98.22</v>
      </c>
      <c r="S88">
        <v>97.9</v>
      </c>
      <c r="T88">
        <v>98.54</v>
      </c>
      <c r="U88">
        <v>85.79</v>
      </c>
      <c r="V88">
        <v>98.54</v>
      </c>
      <c r="W88">
        <v>96.47</v>
      </c>
      <c r="X88">
        <v>97.58</v>
      </c>
      <c r="Y88">
        <v>89.99</v>
      </c>
      <c r="Z88">
        <v>97.9</v>
      </c>
      <c r="AB88">
        <v>23</v>
      </c>
      <c r="AC88">
        <v>965</v>
      </c>
      <c r="AD88">
        <v>39</v>
      </c>
      <c r="AE88">
        <v>22.31</v>
      </c>
    </row>
    <row r="91" spans="1:31" x14ac:dyDescent="0.25">
      <c r="B91">
        <v>0.03</v>
      </c>
      <c r="C91">
        <f>(((($AC14-EXP(52.57-6690.9/(273.15+$AE14)-4.681*LN(273.15+$AE14)))/1013)*C14/100*0.2095*(48.998-1.335*$AE14+0.02755*POWER($AE14,2)-0.000322*POWER($AE14,3)+0.000001598*POWER($AE14,4))*32/22.414))*31.25</f>
        <v>253.52144441575624</v>
      </c>
      <c r="D91">
        <f t="shared" ref="D91:Z91" si="0">(((($AC14-EXP(52.57-6690.9/(273.15+$AE14)-4.681*LN(273.15+$AE14)))/1013)*D14/100*0.2095*(48.998-1.335*$AE14+0.02755*POWER($AE14,2)-0.000322*POWER($AE14,3)+0.000001598*POWER($AE14,4))*32/22.414))*31.25</f>
        <v>252.69412581272704</v>
      </c>
      <c r="E91">
        <f t="shared" si="0"/>
        <v>244.88630649663915</v>
      </c>
      <c r="F91">
        <f t="shared" si="0"/>
        <v>240.77556718783785</v>
      </c>
      <c r="G91">
        <f t="shared" si="0"/>
        <v>237.13019459324053</v>
      </c>
      <c r="H91">
        <f t="shared" si="0"/>
        <v>255.5897409233292</v>
      </c>
      <c r="I91">
        <f t="shared" si="0"/>
        <v>254.34876301878546</v>
      </c>
      <c r="J91">
        <f t="shared" si="0"/>
        <v>257.68389113724686</v>
      </c>
      <c r="K91">
        <f t="shared" si="0"/>
        <v>249.79851070212496</v>
      </c>
      <c r="L91">
        <f t="shared" si="0"/>
        <v>253.52144441575624</v>
      </c>
      <c r="M91">
        <f t="shared" si="0"/>
        <v>239.56044298963869</v>
      </c>
      <c r="N91">
        <f t="shared" si="0"/>
        <v>256.0034002248438</v>
      </c>
      <c r="O91">
        <f t="shared" si="0"/>
        <v>253.93510371727086</v>
      </c>
      <c r="P91">
        <f t="shared" si="0"/>
        <v>258.511209740276</v>
      </c>
      <c r="Q91">
        <f t="shared" si="0"/>
        <v>253.52144441575624</v>
      </c>
      <c r="R91">
        <f t="shared" si="0"/>
        <v>256.0034002248438</v>
      </c>
      <c r="S91">
        <f t="shared" si="0"/>
        <v>253.10778511424169</v>
      </c>
      <c r="T91">
        <f t="shared" si="0"/>
        <v>254.76242232030006</v>
      </c>
      <c r="U91">
        <f t="shared" si="0"/>
        <v>231.85603849892948</v>
      </c>
      <c r="V91">
        <f t="shared" si="0"/>
        <v>256.41705952635846</v>
      </c>
      <c r="W91">
        <f t="shared" si="0"/>
        <v>251.8668072096979</v>
      </c>
      <c r="X91">
        <f t="shared" si="0"/>
        <v>253.93510371727086</v>
      </c>
      <c r="Y91">
        <f t="shared" si="0"/>
        <v>244.47264719512452</v>
      </c>
      <c r="Z91">
        <f t="shared" si="0"/>
        <v>255.17608162181466</v>
      </c>
    </row>
    <row r="92" spans="1:31" x14ac:dyDescent="0.25">
      <c r="B92">
        <v>0.28000000000000003</v>
      </c>
      <c r="C92">
        <f t="shared" ref="C92:Z92" si="1">(((($AC15-EXP(52.57-6690.9/(273.15+$AE15)-4.681*LN(273.15+$AE15)))/1013)*C15/100*0.2095*(48.998-1.335*$AE15+0.02755*POWER($AE15,2)-0.000322*POWER($AE15,3)+0.000001598*POWER($AE15,4))*32/22.414))*31.25</f>
        <v>254.25135956670087</v>
      </c>
      <c r="D92">
        <f t="shared" si="1"/>
        <v>253.42435778726048</v>
      </c>
      <c r="E92">
        <f t="shared" si="1"/>
        <v>244.79252671435154</v>
      </c>
      <c r="F92">
        <f t="shared" si="1"/>
        <v>239.05520186948394</v>
      </c>
      <c r="G92">
        <f t="shared" si="1"/>
        <v>237.84054300593084</v>
      </c>
      <c r="H92">
        <f t="shared" si="1"/>
        <v>255.9053631255816</v>
      </c>
      <c r="I92">
        <f t="shared" si="1"/>
        <v>254.66486045642105</v>
      </c>
      <c r="J92">
        <f t="shared" si="1"/>
        <v>257.99871137979005</v>
      </c>
      <c r="K92">
        <f t="shared" si="1"/>
        <v>250.52985155921914</v>
      </c>
      <c r="L92">
        <f t="shared" si="1"/>
        <v>253.42435778726048</v>
      </c>
      <c r="M92">
        <f t="shared" si="1"/>
        <v>240.29570453864446</v>
      </c>
      <c r="N92">
        <f t="shared" si="1"/>
        <v>256.31886401530181</v>
      </c>
      <c r="O92">
        <f t="shared" si="1"/>
        <v>254.25135956670087</v>
      </c>
      <c r="P92">
        <f t="shared" si="1"/>
        <v>258.82571315923042</v>
      </c>
      <c r="Q92">
        <f t="shared" si="1"/>
        <v>253.42435778726048</v>
      </c>
      <c r="R92">
        <f t="shared" si="1"/>
        <v>255.07836134614126</v>
      </c>
      <c r="S92">
        <f t="shared" si="1"/>
        <v>252.18385511809987</v>
      </c>
      <c r="T92">
        <f t="shared" si="1"/>
        <v>255.07836134614126</v>
      </c>
      <c r="U92">
        <f t="shared" si="1"/>
        <v>231.76724868816561</v>
      </c>
      <c r="V92">
        <f t="shared" si="1"/>
        <v>255.49186223586145</v>
      </c>
      <c r="W92">
        <f t="shared" si="1"/>
        <v>251.35685333865953</v>
      </c>
      <c r="X92">
        <f t="shared" si="1"/>
        <v>253.42435778726048</v>
      </c>
      <c r="Y92">
        <f t="shared" si="1"/>
        <v>243.55202404519096</v>
      </c>
      <c r="Z92">
        <f t="shared" si="1"/>
        <v>255.9053631255816</v>
      </c>
    </row>
    <row r="93" spans="1:31" x14ac:dyDescent="0.25">
      <c r="B93">
        <v>0.53</v>
      </c>
      <c r="C93">
        <f t="shared" ref="C93:Z93" si="2">(((($AC16-EXP(52.57-6690.9/(273.15+$AE16)-4.681*LN(273.15+$AE16)))/1013)*C16/100*0.2095*(48.998-1.335*$AE16+0.02755*POWER($AE16,2)-0.000322*POWER($AE16,3)+0.000001598*POWER($AE16,4))*32/22.414))*31.25</f>
        <v>253.74068440753982</v>
      </c>
      <c r="D93">
        <f t="shared" si="2"/>
        <v>252.91399922111739</v>
      </c>
      <c r="E93">
        <f t="shared" si="2"/>
        <v>243.87212999462187</v>
      </c>
      <c r="F93">
        <f t="shared" si="2"/>
        <v>236.94864155833386</v>
      </c>
      <c r="G93">
        <f t="shared" si="2"/>
        <v>238.57617801910303</v>
      </c>
      <c r="H93">
        <f t="shared" si="2"/>
        <v>255.39405478038469</v>
      </c>
      <c r="I93">
        <f t="shared" si="2"/>
        <v>254.56736959396227</v>
      </c>
      <c r="J93">
        <f t="shared" si="2"/>
        <v>257.07325906530536</v>
      </c>
      <c r="K93">
        <f t="shared" si="2"/>
        <v>250.02060106863877</v>
      </c>
      <c r="L93">
        <f t="shared" si="2"/>
        <v>253.32734181432863</v>
      </c>
      <c r="M93">
        <f t="shared" si="2"/>
        <v>239.37702929344977</v>
      </c>
      <c r="N93">
        <f t="shared" si="2"/>
        <v>255.80739737359593</v>
      </c>
      <c r="O93">
        <f t="shared" si="2"/>
        <v>252.91399922111739</v>
      </c>
      <c r="P93">
        <f t="shared" si="2"/>
        <v>257.89994425172779</v>
      </c>
      <c r="Q93">
        <f t="shared" si="2"/>
        <v>252.08731403469491</v>
      </c>
      <c r="R93">
        <f t="shared" si="2"/>
        <v>255.80739737359593</v>
      </c>
      <c r="S93">
        <f t="shared" si="2"/>
        <v>252.08731403469491</v>
      </c>
      <c r="T93">
        <f t="shared" si="2"/>
        <v>254.56736959396227</v>
      </c>
      <c r="U93">
        <f t="shared" si="2"/>
        <v>231.26518090167951</v>
      </c>
      <c r="V93">
        <f t="shared" si="2"/>
        <v>255.39405478038469</v>
      </c>
      <c r="W93">
        <f t="shared" si="2"/>
        <v>250.84728625506119</v>
      </c>
      <c r="X93">
        <f t="shared" si="2"/>
        <v>253.74068440753982</v>
      </c>
      <c r="Y93">
        <f t="shared" si="2"/>
        <v>242.63210221498818</v>
      </c>
      <c r="Z93">
        <f t="shared" si="2"/>
        <v>255.39405478038469</v>
      </c>
    </row>
    <row r="94" spans="1:31" x14ac:dyDescent="0.25">
      <c r="B94">
        <v>0.78</v>
      </c>
      <c r="C94">
        <f t="shared" ref="C94:Z94" si="3">(((($AC17-EXP(52.57-6690.9/(273.15+$AE17)-4.681*LN(273.15+$AE17)))/1013)*C17/100*0.2095*(48.998-1.335*$AE17+0.02755*POWER($AE17,2)-0.000322*POWER($AE17,3)+0.000001598*POWER($AE17,4))*32/22.414))*31.25</f>
        <v>253.32734181432863</v>
      </c>
      <c r="D94">
        <f t="shared" si="3"/>
        <v>252.50065662790615</v>
      </c>
      <c r="E94">
        <f t="shared" si="3"/>
        <v>243.04544480819936</v>
      </c>
      <c r="F94">
        <f t="shared" si="3"/>
        <v>235.70861377870017</v>
      </c>
      <c r="G94">
        <f t="shared" si="3"/>
        <v>238.57617801910303</v>
      </c>
      <c r="H94">
        <f t="shared" si="3"/>
        <v>255.80739737359593</v>
      </c>
      <c r="I94">
        <f t="shared" si="3"/>
        <v>254.98071218717351</v>
      </c>
      <c r="J94">
        <f t="shared" si="3"/>
        <v>256.63408256001833</v>
      </c>
      <c r="K94">
        <f t="shared" si="3"/>
        <v>250.02060106863877</v>
      </c>
      <c r="L94">
        <f t="shared" si="3"/>
        <v>254.15402700075103</v>
      </c>
      <c r="M94">
        <f t="shared" si="3"/>
        <v>238.57617801910303</v>
      </c>
      <c r="N94">
        <f t="shared" si="3"/>
        <v>255.80739737359593</v>
      </c>
      <c r="O94">
        <f t="shared" si="3"/>
        <v>253.74068440753982</v>
      </c>
      <c r="P94">
        <f t="shared" si="3"/>
        <v>257.48660165851652</v>
      </c>
      <c r="Q94">
        <f t="shared" si="3"/>
        <v>252.50065662790615</v>
      </c>
      <c r="R94">
        <f t="shared" si="3"/>
        <v>255.80739737359593</v>
      </c>
      <c r="S94">
        <f t="shared" si="3"/>
        <v>252.91399922111739</v>
      </c>
      <c r="T94">
        <f t="shared" si="3"/>
        <v>254.56736959396227</v>
      </c>
      <c r="U94">
        <f t="shared" si="3"/>
        <v>230.46432962733277</v>
      </c>
      <c r="V94">
        <f t="shared" si="3"/>
        <v>255.39405478038469</v>
      </c>
      <c r="W94">
        <f t="shared" si="3"/>
        <v>251.26062884827249</v>
      </c>
      <c r="X94">
        <f t="shared" si="3"/>
        <v>254.15402700075103</v>
      </c>
      <c r="Y94">
        <f t="shared" si="3"/>
        <v>242.24459353385262</v>
      </c>
      <c r="Z94">
        <f t="shared" si="3"/>
        <v>255.39405478038469</v>
      </c>
    </row>
    <row r="95" spans="1:31" x14ac:dyDescent="0.25">
      <c r="B95">
        <v>1.05</v>
      </c>
      <c r="C95">
        <f t="shared" ref="C95:Z95" si="4">(((($AC18-EXP(52.57-6690.9/(273.15+$AE18)-4.681*LN(273.15+$AE18)))/1013)*C18/100*0.2095*(48.998-1.335*$AE18+0.02755*POWER($AE18,2)-0.000322*POWER($AE18,3)+0.000001598*POWER($AE18,4))*32/22.414))*31.25</f>
        <v>253.64358082891408</v>
      </c>
      <c r="D95">
        <f t="shared" si="4"/>
        <v>252.81721200519945</v>
      </c>
      <c r="E95">
        <f t="shared" si="4"/>
        <v>242.53924976024854</v>
      </c>
      <c r="F95">
        <f t="shared" si="4"/>
        <v>234.01732126569121</v>
      </c>
      <c r="G95">
        <f t="shared" si="4"/>
        <v>238.07169330704122</v>
      </c>
      <c r="H95">
        <f t="shared" si="4"/>
        <v>255.29631847634337</v>
      </c>
      <c r="I95">
        <f t="shared" si="4"/>
        <v>253.64358082891408</v>
      </c>
      <c r="J95">
        <f t="shared" si="4"/>
        <v>256.97488014951375</v>
      </c>
      <c r="K95">
        <f t="shared" si="4"/>
        <v>250.33810553405544</v>
      </c>
      <c r="L95">
        <f t="shared" si="4"/>
        <v>254.46994965262877</v>
      </c>
      <c r="M95">
        <f t="shared" si="4"/>
        <v>238.48487771889853</v>
      </c>
      <c r="N95">
        <f t="shared" si="4"/>
        <v>254.88313406448603</v>
      </c>
      <c r="O95">
        <f t="shared" si="4"/>
        <v>254.46994965262877</v>
      </c>
      <c r="P95">
        <f t="shared" si="4"/>
        <v>258.21443338508573</v>
      </c>
      <c r="Q95">
        <f t="shared" si="4"/>
        <v>252.40402759334208</v>
      </c>
      <c r="R95">
        <f t="shared" si="4"/>
        <v>255.29631847634337</v>
      </c>
      <c r="S95">
        <f t="shared" si="4"/>
        <v>253.64358082891408</v>
      </c>
      <c r="T95">
        <f t="shared" si="4"/>
        <v>254.46994965262877</v>
      </c>
      <c r="U95">
        <f t="shared" si="4"/>
        <v>231.58986284602949</v>
      </c>
      <c r="V95">
        <f t="shared" si="4"/>
        <v>255.29631847634337</v>
      </c>
      <c r="W95">
        <f t="shared" si="4"/>
        <v>251.16447435777013</v>
      </c>
      <c r="X95">
        <f t="shared" si="4"/>
        <v>252.81721200519945</v>
      </c>
      <c r="Y95">
        <f t="shared" si="4"/>
        <v>242.15188937413225</v>
      </c>
      <c r="Z95">
        <f t="shared" si="4"/>
        <v>255.29631847634337</v>
      </c>
    </row>
    <row r="96" spans="1:31" x14ac:dyDescent="0.25">
      <c r="B96">
        <v>1.3</v>
      </c>
      <c r="C96">
        <f t="shared" ref="C96:Z96" si="5">(((($AC19-EXP(52.57-6690.9/(273.15+$AE19)-4.681*LN(273.15+$AE19)))/1013)*C19/100*0.2095*(48.998-1.335*$AE19+0.02755*POWER($AE19,2)-0.000322*POWER($AE19,3)+0.000001598*POWER($AE19,4))*32/22.414))*31.25</f>
        <v>253.59505552366025</v>
      </c>
      <c r="D96">
        <f t="shared" si="5"/>
        <v>252.35573943069178</v>
      </c>
      <c r="E96">
        <f t="shared" si="5"/>
        <v>243.31905958613049</v>
      </c>
      <c r="F96">
        <f t="shared" si="5"/>
        <v>232.34594834630607</v>
      </c>
      <c r="G96">
        <f t="shared" si="5"/>
        <v>236.81265009804639</v>
      </c>
      <c r="H96">
        <f t="shared" si="5"/>
        <v>256.07368770959704</v>
      </c>
      <c r="I96">
        <f t="shared" si="5"/>
        <v>254.008160887983</v>
      </c>
      <c r="J96">
        <f t="shared" si="5"/>
        <v>256.92571752351279</v>
      </c>
      <c r="K96">
        <f t="shared" si="5"/>
        <v>250.2902126090778</v>
      </c>
      <c r="L96">
        <f t="shared" si="5"/>
        <v>253.59505552366025</v>
      </c>
      <c r="M96">
        <f t="shared" si="5"/>
        <v>237.6130417414218</v>
      </c>
      <c r="N96">
        <f t="shared" si="5"/>
        <v>255.66058234527429</v>
      </c>
      <c r="O96">
        <f t="shared" si="5"/>
        <v>254.008160887983</v>
      </c>
      <c r="P96">
        <f t="shared" si="5"/>
        <v>257.75192825215845</v>
      </c>
      <c r="Q96">
        <f t="shared" si="5"/>
        <v>253.18195015933742</v>
      </c>
      <c r="R96">
        <f t="shared" si="5"/>
        <v>255.24747698095135</v>
      </c>
      <c r="S96">
        <f t="shared" si="5"/>
        <v>253.59505552366025</v>
      </c>
      <c r="T96">
        <f t="shared" si="5"/>
        <v>254.83437161662857</v>
      </c>
      <c r="U96">
        <f t="shared" si="5"/>
        <v>230.33205969523237</v>
      </c>
      <c r="V96">
        <f t="shared" si="5"/>
        <v>255.66058234527429</v>
      </c>
      <c r="W96">
        <f t="shared" si="5"/>
        <v>251.11642333772338</v>
      </c>
      <c r="X96">
        <f t="shared" si="5"/>
        <v>252.76884479501462</v>
      </c>
      <c r="Y96">
        <f t="shared" si="5"/>
        <v>241.27935184978665</v>
      </c>
      <c r="Z96">
        <f t="shared" si="5"/>
        <v>254.83437161662857</v>
      </c>
    </row>
    <row r="97" spans="2:26" x14ac:dyDescent="0.25">
      <c r="B97">
        <v>1.55</v>
      </c>
      <c r="C97">
        <f t="shared" ref="C97:Z97" si="6">(((($AC20-EXP(52.57-6690.9/(273.15+$AE20)-4.681*LN(273.15+$AE20)))/1013)*C20/100*0.2095*(48.998-1.335*$AE20+0.02755*POWER($AE20,2)-0.000322*POWER($AE20,3)+0.000001598*POWER($AE20,4))*32/22.414))*31.25</f>
        <v>253.54654786112079</v>
      </c>
      <c r="D97">
        <f t="shared" si="6"/>
        <v>252.72049517006445</v>
      </c>
      <c r="E97">
        <f t="shared" si="6"/>
        <v>242.85949117057879</v>
      </c>
      <c r="F97">
        <f t="shared" si="6"/>
        <v>231.5012666685534</v>
      </c>
      <c r="G97">
        <f t="shared" si="6"/>
        <v>237.56759111849877</v>
      </c>
      <c r="H97">
        <f t="shared" si="6"/>
        <v>255.19865324323359</v>
      </c>
      <c r="I97">
        <f t="shared" si="6"/>
        <v>253.95957420664905</v>
      </c>
      <c r="J97">
        <f t="shared" si="6"/>
        <v>256.87657277194188</v>
      </c>
      <c r="K97">
        <f t="shared" si="6"/>
        <v>250.24233709689526</v>
      </c>
      <c r="L97">
        <f t="shared" si="6"/>
        <v>253.54654786112079</v>
      </c>
      <c r="M97">
        <f t="shared" si="6"/>
        <v>237.56759111849877</v>
      </c>
      <c r="N97">
        <f t="shared" si="6"/>
        <v>255.6116795887618</v>
      </c>
      <c r="O97">
        <f t="shared" si="6"/>
        <v>252.72049517006445</v>
      </c>
      <c r="P97">
        <f t="shared" si="6"/>
        <v>258.9417044995829</v>
      </c>
      <c r="Q97">
        <f t="shared" si="6"/>
        <v>252.30746882453619</v>
      </c>
      <c r="R97">
        <f t="shared" si="6"/>
        <v>255.6116795887618</v>
      </c>
      <c r="S97">
        <f t="shared" si="6"/>
        <v>253.13352151559261</v>
      </c>
      <c r="T97">
        <f t="shared" si="6"/>
        <v>254.78562689770544</v>
      </c>
      <c r="U97">
        <f t="shared" si="6"/>
        <v>230.28800177856436</v>
      </c>
      <c r="V97">
        <f t="shared" si="6"/>
        <v>255.19865324323359</v>
      </c>
      <c r="W97">
        <f t="shared" si="6"/>
        <v>250.24233709689526</v>
      </c>
      <c r="X97">
        <f t="shared" si="6"/>
        <v>252.30746882453619</v>
      </c>
      <c r="Y97">
        <f t="shared" si="6"/>
        <v>239.60690869954425</v>
      </c>
      <c r="Z97">
        <f t="shared" si="6"/>
        <v>254.78562689770544</v>
      </c>
    </row>
    <row r="98" spans="2:26" x14ac:dyDescent="0.25">
      <c r="B98">
        <v>1.8</v>
      </c>
      <c r="C98">
        <f t="shared" ref="C98:Z98" si="7">(((($AC21-EXP(52.57-6690.9/(273.15+$AE21)-4.681*LN(273.15+$AE21)))/1013)*C21/100*0.2095*(48.998-1.335*$AE21+0.02755*POWER($AE21,2)-0.000322*POWER($AE21,3)+0.000001598*POWER($AE21,4))*32/22.414))*31.25</f>
        <v>253.08511047584886</v>
      </c>
      <c r="D98">
        <f t="shared" si="7"/>
        <v>252.67216312039159</v>
      </c>
      <c r="E98">
        <f t="shared" si="7"/>
        <v>242.40009765339303</v>
      </c>
      <c r="F98">
        <f t="shared" si="7"/>
        <v>228.2308415192669</v>
      </c>
      <c r="G98">
        <f t="shared" si="7"/>
        <v>237.1092096615973</v>
      </c>
      <c r="H98">
        <f t="shared" si="7"/>
        <v>255.14984725313494</v>
      </c>
      <c r="I98">
        <f t="shared" si="7"/>
        <v>253.49805783130603</v>
      </c>
      <c r="J98">
        <f t="shared" si="7"/>
        <v>256.38868931950668</v>
      </c>
      <c r="K98">
        <f t="shared" si="7"/>
        <v>250.19447898764818</v>
      </c>
      <c r="L98">
        <f t="shared" si="7"/>
        <v>252.67216312039159</v>
      </c>
      <c r="M98">
        <f t="shared" si="7"/>
        <v>237.1092096615973</v>
      </c>
      <c r="N98">
        <f t="shared" si="7"/>
        <v>255.56279460859216</v>
      </c>
      <c r="O98">
        <f t="shared" si="7"/>
        <v>253.49805783130603</v>
      </c>
      <c r="P98">
        <f t="shared" si="7"/>
        <v>258.47923530650888</v>
      </c>
      <c r="Q98">
        <f t="shared" si="7"/>
        <v>251.4333210540199</v>
      </c>
      <c r="R98">
        <f t="shared" si="7"/>
        <v>255.14984725313494</v>
      </c>
      <c r="S98">
        <f t="shared" si="7"/>
        <v>252.25921576493437</v>
      </c>
      <c r="T98">
        <f t="shared" si="7"/>
        <v>254.73689989767772</v>
      </c>
      <c r="U98">
        <f t="shared" si="7"/>
        <v>229.83101252166367</v>
      </c>
      <c r="V98">
        <f t="shared" si="7"/>
        <v>255.14984725313494</v>
      </c>
      <c r="W98">
        <f t="shared" si="7"/>
        <v>250.60742634310546</v>
      </c>
      <c r="X98">
        <f t="shared" si="7"/>
        <v>253.49805783130603</v>
      </c>
      <c r="Y98">
        <f t="shared" si="7"/>
        <v>239.56108458462461</v>
      </c>
      <c r="Z98">
        <f t="shared" si="7"/>
        <v>255.14984725313494</v>
      </c>
    </row>
    <row r="99" spans="2:26" x14ac:dyDescent="0.25">
      <c r="B99">
        <v>2.0499999999999998</v>
      </c>
      <c r="C99">
        <f t="shared" ref="C99:Z99" si="8">(((($AC22-EXP(52.57-6690.9/(273.15+$AE22)-4.681*LN(273.15+$AE22)))/1013)*C22/100*0.2095*(48.998-1.335*$AE22+0.02755*POWER($AE22,2)-0.000322*POWER($AE22,3)+0.000001598*POWER($AE22,4))*32/22.414))*31.25</f>
        <v>253.4011306299077</v>
      </c>
      <c r="D99">
        <f t="shared" si="8"/>
        <v>253.4011306299077</v>
      </c>
      <c r="E99">
        <f t="shared" si="8"/>
        <v>242.30741385421439</v>
      </c>
      <c r="F99">
        <f t="shared" si="8"/>
        <v>228.53056557928352</v>
      </c>
      <c r="G99">
        <f t="shared" si="8"/>
        <v>238.25691726401928</v>
      </c>
      <c r="H99">
        <f t="shared" si="8"/>
        <v>255.05228847559229</v>
      </c>
      <c r="I99">
        <f t="shared" si="8"/>
        <v>253.4011306299077</v>
      </c>
      <c r="J99">
        <f t="shared" si="8"/>
        <v>256.2906568598558</v>
      </c>
      <c r="K99">
        <f t="shared" si="8"/>
        <v>250.09881493853854</v>
      </c>
      <c r="L99">
        <f t="shared" si="8"/>
        <v>253.81392009132887</v>
      </c>
      <c r="M99">
        <f t="shared" si="8"/>
        <v>236.63155875967357</v>
      </c>
      <c r="N99">
        <f t="shared" si="8"/>
        <v>256.2906568598558</v>
      </c>
      <c r="O99">
        <f t="shared" si="8"/>
        <v>254.22670955275007</v>
      </c>
      <c r="P99">
        <f t="shared" si="8"/>
        <v>257.96761404687919</v>
      </c>
      <c r="Q99">
        <f t="shared" si="8"/>
        <v>252.16276224564427</v>
      </c>
      <c r="R99">
        <f t="shared" si="8"/>
        <v>255.46507793701346</v>
      </c>
      <c r="S99">
        <f t="shared" si="8"/>
        <v>252.57555170706547</v>
      </c>
      <c r="T99">
        <f t="shared" si="8"/>
        <v>254.22670955275007</v>
      </c>
      <c r="U99">
        <f t="shared" si="8"/>
        <v>229.74313462220815</v>
      </c>
      <c r="V99">
        <f t="shared" si="8"/>
        <v>255.87786739843466</v>
      </c>
      <c r="W99">
        <f t="shared" si="8"/>
        <v>250.09881493853854</v>
      </c>
      <c r="X99">
        <f t="shared" si="8"/>
        <v>252.16276224564427</v>
      </c>
      <c r="Y99">
        <f t="shared" si="8"/>
        <v>240.68205534986862</v>
      </c>
      <c r="Z99">
        <f t="shared" si="8"/>
        <v>254.22670955275007</v>
      </c>
    </row>
    <row r="100" spans="2:26" x14ac:dyDescent="0.25">
      <c r="B100">
        <v>2.2999999999999998</v>
      </c>
      <c r="C100">
        <f t="shared" ref="C100:Z100" si="9">(((($AC23-EXP(52.57-6690.9/(273.15+$AE23)-4.681*LN(273.15+$AE23)))/1013)*C23/100*0.2095*(48.998-1.335*$AE23+0.02755*POWER($AE23,2)-0.000322*POWER($AE23,3)+0.000001598*POWER($AE23,4))*32/22.414))*31.25</f>
        <v>252.98834116848661</v>
      </c>
      <c r="D100">
        <f t="shared" si="9"/>
        <v>252.16276224564427</v>
      </c>
      <c r="E100">
        <f t="shared" si="9"/>
        <v>241.50763427271085</v>
      </c>
      <c r="F100">
        <f t="shared" si="9"/>
        <v>227.34379587769774</v>
      </c>
      <c r="G100">
        <f t="shared" si="9"/>
        <v>236.63155875967357</v>
      </c>
      <c r="H100">
        <f t="shared" si="9"/>
        <v>255.46507793701346</v>
      </c>
      <c r="I100">
        <f t="shared" si="9"/>
        <v>253.81392009132887</v>
      </c>
      <c r="J100">
        <f t="shared" si="9"/>
        <v>256.72924566261577</v>
      </c>
      <c r="K100">
        <f t="shared" si="9"/>
        <v>249.27323601569623</v>
      </c>
      <c r="L100">
        <f t="shared" si="9"/>
        <v>252.16276224564427</v>
      </c>
      <c r="M100">
        <f t="shared" si="9"/>
        <v>237.43133834117702</v>
      </c>
      <c r="N100">
        <f t="shared" si="9"/>
        <v>255.05228847559229</v>
      </c>
      <c r="O100">
        <f t="shared" si="9"/>
        <v>252.98834116848661</v>
      </c>
      <c r="P100">
        <f t="shared" si="9"/>
        <v>257.55482458545805</v>
      </c>
      <c r="Q100">
        <f t="shared" si="9"/>
        <v>251.33718332280202</v>
      </c>
      <c r="R100">
        <f t="shared" si="9"/>
        <v>255.46507793701346</v>
      </c>
      <c r="S100">
        <f t="shared" si="9"/>
        <v>251.74997278422313</v>
      </c>
      <c r="T100">
        <f t="shared" si="9"/>
        <v>253.81392009132887</v>
      </c>
      <c r="U100">
        <f t="shared" si="9"/>
        <v>229.35614450212586</v>
      </c>
      <c r="V100">
        <f t="shared" si="9"/>
        <v>254.22670955275007</v>
      </c>
      <c r="W100">
        <f t="shared" si="9"/>
        <v>250.51160439995968</v>
      </c>
      <c r="X100">
        <f t="shared" si="9"/>
        <v>252.98834116848661</v>
      </c>
      <c r="Y100">
        <f t="shared" si="9"/>
        <v>238.25691726401928</v>
      </c>
      <c r="Z100">
        <f t="shared" si="9"/>
        <v>254.22670955275007</v>
      </c>
    </row>
    <row r="101" spans="2:26" x14ac:dyDescent="0.25">
      <c r="B101">
        <v>2.5499999999999998</v>
      </c>
      <c r="C101">
        <f t="shared" ref="C101:Z101" si="10">(((($AC24-EXP(52.57-6690.9/(273.15+$AE24)-4.681*LN(273.15+$AE24)))/1013)*C24/100*0.2095*(48.998-1.335*$AE24+0.02755*POWER($AE24,2)-0.000322*POWER($AE24,3)+0.000001598*POWER($AE24,4))*32/22.414))*31.25</f>
        <v>252.98834116848661</v>
      </c>
      <c r="D101">
        <f t="shared" si="10"/>
        <v>252.57555170706547</v>
      </c>
      <c r="E101">
        <f t="shared" si="10"/>
        <v>241.09484481128976</v>
      </c>
      <c r="F101">
        <f t="shared" si="10"/>
        <v>226.13122683477312</v>
      </c>
      <c r="G101">
        <f t="shared" si="10"/>
        <v>236.63155875967357</v>
      </c>
      <c r="H101">
        <f t="shared" si="10"/>
        <v>255.87786739843466</v>
      </c>
      <c r="I101">
        <f t="shared" si="10"/>
        <v>253.4011306299077</v>
      </c>
      <c r="J101">
        <f t="shared" si="10"/>
        <v>256.72924566261577</v>
      </c>
      <c r="K101">
        <f t="shared" si="10"/>
        <v>250.09881493853854</v>
      </c>
      <c r="L101">
        <f t="shared" si="10"/>
        <v>252.98834116848661</v>
      </c>
      <c r="M101">
        <f t="shared" si="10"/>
        <v>236.21876929825245</v>
      </c>
      <c r="N101">
        <f t="shared" si="10"/>
        <v>255.05228847559229</v>
      </c>
      <c r="O101">
        <f t="shared" si="10"/>
        <v>252.98834116848661</v>
      </c>
      <c r="P101">
        <f t="shared" si="10"/>
        <v>257.96761404687919</v>
      </c>
      <c r="Q101">
        <f t="shared" si="10"/>
        <v>251.74997278422313</v>
      </c>
      <c r="R101">
        <f t="shared" si="10"/>
        <v>255.46507793701346</v>
      </c>
      <c r="S101">
        <f t="shared" si="10"/>
        <v>252.57555170706547</v>
      </c>
      <c r="T101">
        <f t="shared" si="10"/>
        <v>254.22670955275007</v>
      </c>
      <c r="U101">
        <f t="shared" si="10"/>
        <v>228.53056557928352</v>
      </c>
      <c r="V101">
        <f t="shared" si="10"/>
        <v>255.05228847559229</v>
      </c>
      <c r="W101">
        <f t="shared" si="10"/>
        <v>250.09881493853854</v>
      </c>
      <c r="X101">
        <f t="shared" si="10"/>
        <v>252.98834116848661</v>
      </c>
      <c r="Y101">
        <f t="shared" si="10"/>
        <v>239.05669684552282</v>
      </c>
      <c r="Z101">
        <f t="shared" si="10"/>
        <v>254.63949901417121</v>
      </c>
    </row>
    <row r="102" spans="2:26" x14ac:dyDescent="0.25">
      <c r="B102">
        <v>2.8</v>
      </c>
      <c r="C102">
        <f t="shared" ref="C102:Z102" si="11">(((($AC25-EXP(52.57-6690.9/(273.15+$AE25)-4.681*LN(273.15+$AE25)))/1013)*C25/100*0.2095*(48.998-1.335*$AE25+0.02755*POWER($AE25,2)-0.000322*POWER($AE25,3)+0.000001598*POWER($AE25,4))*32/22.414))*31.25</f>
        <v>253.4011306299077</v>
      </c>
      <c r="D102">
        <f t="shared" si="11"/>
        <v>252.16276224564427</v>
      </c>
      <c r="E102">
        <f t="shared" si="11"/>
        <v>241.50763427271085</v>
      </c>
      <c r="F102">
        <f t="shared" si="11"/>
        <v>225.33144725326963</v>
      </c>
      <c r="G102">
        <f t="shared" si="11"/>
        <v>236.63155875967357</v>
      </c>
      <c r="H102">
        <f t="shared" si="11"/>
        <v>255.87786739843466</v>
      </c>
      <c r="I102">
        <f t="shared" si="11"/>
        <v>254.22670955275007</v>
      </c>
      <c r="J102">
        <f t="shared" si="11"/>
        <v>256.2906568598558</v>
      </c>
      <c r="K102">
        <f t="shared" si="11"/>
        <v>249.27323601569623</v>
      </c>
      <c r="L102">
        <f t="shared" si="11"/>
        <v>253.4011306299077</v>
      </c>
      <c r="M102">
        <f t="shared" si="11"/>
        <v>235.39319037541011</v>
      </c>
      <c r="N102">
        <f t="shared" si="11"/>
        <v>254.63949901417121</v>
      </c>
      <c r="O102">
        <f t="shared" si="11"/>
        <v>253.4011306299077</v>
      </c>
      <c r="P102">
        <f t="shared" si="11"/>
        <v>257.55482458545805</v>
      </c>
      <c r="Q102">
        <f t="shared" si="11"/>
        <v>251.74997278422313</v>
      </c>
      <c r="R102">
        <f t="shared" si="11"/>
        <v>254.22670955275007</v>
      </c>
      <c r="S102">
        <f t="shared" si="11"/>
        <v>252.57555170706547</v>
      </c>
      <c r="T102">
        <f t="shared" si="11"/>
        <v>254.22670955275007</v>
      </c>
      <c r="U102">
        <f t="shared" si="11"/>
        <v>228.53056557928352</v>
      </c>
      <c r="V102">
        <f t="shared" si="11"/>
        <v>255.46507793701346</v>
      </c>
      <c r="W102">
        <f t="shared" si="11"/>
        <v>250.51160439995968</v>
      </c>
      <c r="X102">
        <f t="shared" si="11"/>
        <v>252.98834116848661</v>
      </c>
      <c r="Y102">
        <f t="shared" si="11"/>
        <v>237.84412780259819</v>
      </c>
      <c r="Z102">
        <f t="shared" si="11"/>
        <v>255.05228847559229</v>
      </c>
    </row>
    <row r="103" spans="2:26" x14ac:dyDescent="0.25">
      <c r="B103">
        <v>3.07</v>
      </c>
      <c r="C103">
        <f t="shared" ref="C103:Z103" si="12">(((($AC26-EXP(52.57-6690.9/(273.15+$AE26)-4.681*LN(273.15+$AE26)))/1013)*C26/100*0.2095*(48.998-1.335*$AE26+0.02755*POWER($AE26,2)-0.000322*POWER($AE26,3)+0.000001598*POWER($AE26,4))*32/22.414))*31.25</f>
        <v>252.89164215752757</v>
      </c>
      <c r="D103">
        <f t="shared" si="12"/>
        <v>252.06637879335858</v>
      </c>
      <c r="E103">
        <f t="shared" si="12"/>
        <v>240.59006013538388</v>
      </c>
      <c r="F103">
        <f t="shared" si="12"/>
        <v>224.44584557382848</v>
      </c>
      <c r="G103">
        <f t="shared" si="12"/>
        <v>236.92795395688412</v>
      </c>
      <c r="H103">
        <f t="shared" si="12"/>
        <v>255.78006393211894</v>
      </c>
      <c r="I103">
        <f t="shared" si="12"/>
        <v>253.30427383961208</v>
      </c>
      <c r="J103">
        <f t="shared" si="12"/>
        <v>256.63111677641825</v>
      </c>
      <c r="K103">
        <f t="shared" si="12"/>
        <v>249.59058870085175</v>
      </c>
      <c r="L103">
        <f t="shared" si="12"/>
        <v>252.89164215752757</v>
      </c>
      <c r="M103">
        <f t="shared" si="12"/>
        <v>235.30321670867647</v>
      </c>
      <c r="N103">
        <f t="shared" si="12"/>
        <v>254.54216888586544</v>
      </c>
      <c r="O103">
        <f t="shared" si="12"/>
        <v>253.7169055216965</v>
      </c>
      <c r="P103">
        <f t="shared" si="12"/>
        <v>257.86901182267161</v>
      </c>
      <c r="Q103">
        <f t="shared" si="12"/>
        <v>250.8284837471052</v>
      </c>
      <c r="R103">
        <f t="shared" si="12"/>
        <v>254.95480056794995</v>
      </c>
      <c r="S103">
        <f t="shared" si="12"/>
        <v>252.47901047544309</v>
      </c>
      <c r="T103">
        <f t="shared" si="12"/>
        <v>254.12953720378107</v>
      </c>
      <c r="U103">
        <f t="shared" si="12"/>
        <v>228.85584667610641</v>
      </c>
      <c r="V103">
        <f t="shared" si="12"/>
        <v>254.12953720378107</v>
      </c>
      <c r="W103">
        <f t="shared" si="12"/>
        <v>250.00322038293615</v>
      </c>
      <c r="X103">
        <f t="shared" si="12"/>
        <v>252.47901047544309</v>
      </c>
      <c r="Y103">
        <f t="shared" si="12"/>
        <v>236.92795395688412</v>
      </c>
      <c r="Z103">
        <f t="shared" si="12"/>
        <v>254.54216888586544</v>
      </c>
    </row>
    <row r="104" spans="2:26" x14ac:dyDescent="0.25">
      <c r="B104">
        <v>3.32</v>
      </c>
      <c r="C104">
        <f t="shared" ref="C104:Z104" si="13">(((($AC27-EXP(52.57-6690.9/(273.15+$AE27)-4.681*LN(273.15+$AE27)))/1013)*C27/100*0.2095*(48.998-1.335*$AE27+0.02755*POWER($AE27,2)-0.000322*POWER($AE27,3)+0.000001598*POWER($AE27,4))*32/22.414))*31.25</f>
        <v>252.89164215752757</v>
      </c>
      <c r="D104">
        <f t="shared" si="13"/>
        <v>252.47901047544309</v>
      </c>
      <c r="E104">
        <f t="shared" si="13"/>
        <v>241.00269181746839</v>
      </c>
      <c r="F104">
        <f t="shared" si="13"/>
        <v>222.8468978057511</v>
      </c>
      <c r="G104">
        <f t="shared" si="13"/>
        <v>236.54111175492989</v>
      </c>
      <c r="H104">
        <f t="shared" si="13"/>
        <v>255.36743225003445</v>
      </c>
      <c r="I104">
        <f t="shared" si="13"/>
        <v>252.89164215752757</v>
      </c>
      <c r="J104">
        <f t="shared" si="13"/>
        <v>257.04374845850265</v>
      </c>
      <c r="K104">
        <f t="shared" si="13"/>
        <v>250.00322038293615</v>
      </c>
      <c r="L104">
        <f t="shared" si="13"/>
        <v>252.89164215752757</v>
      </c>
      <c r="M104">
        <f t="shared" si="13"/>
        <v>234.09111114255333</v>
      </c>
      <c r="N104">
        <f t="shared" si="13"/>
        <v>254.95480056794995</v>
      </c>
      <c r="O104">
        <f t="shared" si="13"/>
        <v>253.30427383961208</v>
      </c>
      <c r="P104">
        <f t="shared" si="13"/>
        <v>257.86901182267161</v>
      </c>
      <c r="Q104">
        <f t="shared" si="13"/>
        <v>250.8284837471052</v>
      </c>
      <c r="R104">
        <f t="shared" si="13"/>
        <v>254.54216888586544</v>
      </c>
      <c r="S104">
        <f t="shared" si="13"/>
        <v>252.06637879335858</v>
      </c>
      <c r="T104">
        <f t="shared" si="13"/>
        <v>254.12953720378107</v>
      </c>
      <c r="U104">
        <f t="shared" si="13"/>
        <v>227.64374110998327</v>
      </c>
      <c r="V104">
        <f t="shared" si="13"/>
        <v>255.36743225003445</v>
      </c>
      <c r="W104">
        <f t="shared" si="13"/>
        <v>249.59058870085175</v>
      </c>
      <c r="X104">
        <f t="shared" si="13"/>
        <v>252.89164215752757</v>
      </c>
      <c r="Y104">
        <f t="shared" si="13"/>
        <v>237.34058563896866</v>
      </c>
      <c r="Z104">
        <f t="shared" si="13"/>
        <v>254.12953720378107</v>
      </c>
    </row>
    <row r="105" spans="2:26" x14ac:dyDescent="0.25">
      <c r="B105">
        <v>3.57</v>
      </c>
      <c r="C105">
        <f t="shared" ref="C105:Z105" si="14">(((($AC28-EXP(52.57-6690.9/(273.15+$AE28)-4.681*LN(273.15+$AE28)))/1013)*C28/100*0.2095*(48.998-1.335*$AE28+0.02755*POWER($AE28,2)-0.000322*POWER($AE28,3)+0.000001598*POWER($AE28,4))*32/22.414))*31.25</f>
        <v>252.89164215752757</v>
      </c>
      <c r="D105">
        <f t="shared" si="14"/>
        <v>251.65374711127413</v>
      </c>
      <c r="E105">
        <f t="shared" si="14"/>
        <v>240.59006013538388</v>
      </c>
      <c r="F105">
        <f t="shared" si="14"/>
        <v>222.04742392171244</v>
      </c>
      <c r="G105">
        <f t="shared" si="14"/>
        <v>236.92795395688412</v>
      </c>
      <c r="H105">
        <f t="shared" si="14"/>
        <v>254.95480056794995</v>
      </c>
      <c r="I105">
        <f t="shared" si="14"/>
        <v>253.7169055216965</v>
      </c>
      <c r="J105">
        <f t="shared" si="14"/>
        <v>256.63111677641825</v>
      </c>
      <c r="K105">
        <f t="shared" si="14"/>
        <v>249.59058870085175</v>
      </c>
      <c r="L105">
        <f t="shared" si="14"/>
        <v>253.30427383961208</v>
      </c>
      <c r="M105">
        <f t="shared" si="14"/>
        <v>234.09111114255333</v>
      </c>
      <c r="N105">
        <f t="shared" si="14"/>
        <v>254.95480056794995</v>
      </c>
      <c r="O105">
        <f t="shared" si="14"/>
        <v>253.30427383961208</v>
      </c>
      <c r="P105">
        <f t="shared" si="14"/>
        <v>257.45638014058721</v>
      </c>
      <c r="Q105">
        <f t="shared" si="14"/>
        <v>250.8284837471052</v>
      </c>
      <c r="R105">
        <f t="shared" si="14"/>
        <v>254.54216888586544</v>
      </c>
      <c r="S105">
        <f t="shared" si="14"/>
        <v>252.89164215752757</v>
      </c>
      <c r="T105">
        <f t="shared" si="14"/>
        <v>254.54216888586544</v>
      </c>
      <c r="U105">
        <f t="shared" si="14"/>
        <v>227.25689890802906</v>
      </c>
      <c r="V105">
        <f t="shared" si="14"/>
        <v>254.54216888586544</v>
      </c>
      <c r="W105">
        <f t="shared" si="14"/>
        <v>250.41585206502072</v>
      </c>
      <c r="X105">
        <f t="shared" si="14"/>
        <v>252.89164215752757</v>
      </c>
      <c r="Y105">
        <f t="shared" si="14"/>
        <v>236.92795395688412</v>
      </c>
      <c r="Z105">
        <f t="shared" si="14"/>
        <v>253.7169055216965</v>
      </c>
    </row>
    <row r="106" spans="2:26" x14ac:dyDescent="0.25">
      <c r="B106">
        <v>3.82</v>
      </c>
      <c r="C106">
        <f t="shared" ref="C106:Z106" si="15">(((($AC29-EXP(52.57-6690.9/(273.15+$AE29)-4.681*LN(273.15+$AE29)))/1013)*C29/100*0.2095*(48.998-1.335*$AE29+0.02755*POWER($AE29,2)-0.000322*POWER($AE29,3)+0.000001598*POWER($AE29,4))*32/22.414))*31.25</f>
        <v>252.43076615291221</v>
      </c>
      <c r="D106">
        <f t="shared" si="15"/>
        <v>251.19310764674873</v>
      </c>
      <c r="E106">
        <f t="shared" si="15"/>
        <v>239.74476646473724</v>
      </c>
      <c r="F106">
        <f t="shared" si="15"/>
        <v>221.59244170767386</v>
      </c>
      <c r="G106">
        <f t="shared" si="15"/>
        <v>236.08336005067042</v>
      </c>
      <c r="H106">
        <f t="shared" si="15"/>
        <v>254.49353032985124</v>
      </c>
      <c r="I106">
        <f t="shared" si="15"/>
        <v>253.25587182368776</v>
      </c>
      <c r="J106">
        <f t="shared" si="15"/>
        <v>255.73118883601458</v>
      </c>
      <c r="K106">
        <f t="shared" si="15"/>
        <v>249.54289630519759</v>
      </c>
      <c r="L106">
        <f t="shared" si="15"/>
        <v>252.84331898829998</v>
      </c>
      <c r="M106">
        <f t="shared" si="15"/>
        <v>234.45893326133103</v>
      </c>
      <c r="N106">
        <f t="shared" si="15"/>
        <v>254.49353032985124</v>
      </c>
      <c r="O106">
        <f t="shared" si="15"/>
        <v>253.25587182368776</v>
      </c>
      <c r="P106">
        <f t="shared" si="15"/>
        <v>256.99463189438978</v>
      </c>
      <c r="Q106">
        <f t="shared" si="15"/>
        <v>251.19310764674873</v>
      </c>
      <c r="R106">
        <f t="shared" si="15"/>
        <v>254.90608316523898</v>
      </c>
      <c r="S106">
        <f t="shared" si="15"/>
        <v>251.60566048213656</v>
      </c>
      <c r="T106">
        <f t="shared" si="15"/>
        <v>253.66842465907558</v>
      </c>
      <c r="U106">
        <f t="shared" si="15"/>
        <v>227.60024237300874</v>
      </c>
      <c r="V106">
        <f t="shared" si="15"/>
        <v>254.90608316523898</v>
      </c>
      <c r="W106">
        <f t="shared" si="15"/>
        <v>249.54289630519759</v>
      </c>
      <c r="X106">
        <f t="shared" si="15"/>
        <v>252.43076615291221</v>
      </c>
      <c r="Y106">
        <f t="shared" si="15"/>
        <v>236.49591288605825</v>
      </c>
      <c r="Z106">
        <f t="shared" si="15"/>
        <v>254.08097749446341</v>
      </c>
    </row>
    <row r="107" spans="2:26" x14ac:dyDescent="0.25">
      <c r="B107">
        <v>4.07</v>
      </c>
      <c r="C107">
        <f t="shared" ref="C107:Z107" si="16">(((($AC30-EXP(52.57-6690.9/(273.15+$AE30)-4.681*LN(273.15+$AE30)))/1013)*C30/100*0.2095*(48.998-1.335*$AE30+0.02755*POWER($AE30,2)-0.000322*POWER($AE30,3)+0.000001598*POWER($AE30,4))*32/22.414))*31.25</f>
        <v>252.84331898829998</v>
      </c>
      <c r="D107">
        <f t="shared" si="16"/>
        <v>253.25587182368776</v>
      </c>
      <c r="E107">
        <f t="shared" si="16"/>
        <v>239.74476646473724</v>
      </c>
      <c r="F107">
        <f t="shared" si="16"/>
        <v>220.79312058911</v>
      </c>
      <c r="G107">
        <f t="shared" si="16"/>
        <v>236.88268116923433</v>
      </c>
      <c r="H107">
        <f t="shared" si="16"/>
        <v>254.90608316523898</v>
      </c>
      <c r="I107">
        <f t="shared" si="16"/>
        <v>253.25587182368776</v>
      </c>
      <c r="J107">
        <f t="shared" si="16"/>
        <v>256.14374167140244</v>
      </c>
      <c r="K107">
        <f t="shared" si="16"/>
        <v>249.54289630519759</v>
      </c>
      <c r="L107">
        <f t="shared" si="16"/>
        <v>253.66842465907558</v>
      </c>
      <c r="M107">
        <f t="shared" si="16"/>
        <v>234.04638042594317</v>
      </c>
      <c r="N107">
        <f t="shared" si="16"/>
        <v>254.90608316523898</v>
      </c>
      <c r="O107">
        <f t="shared" si="16"/>
        <v>253.25587182368776</v>
      </c>
      <c r="P107">
        <f t="shared" si="16"/>
        <v>258.23229040055315</v>
      </c>
      <c r="Q107">
        <f t="shared" si="16"/>
        <v>251.60566048213656</v>
      </c>
      <c r="R107">
        <f t="shared" si="16"/>
        <v>254.90608316523898</v>
      </c>
      <c r="S107">
        <f t="shared" si="16"/>
        <v>252.01821331752433</v>
      </c>
      <c r="T107">
        <f t="shared" si="16"/>
        <v>254.08097749446341</v>
      </c>
      <c r="U107">
        <f t="shared" si="16"/>
        <v>227.21347408983269</v>
      </c>
      <c r="V107">
        <f t="shared" si="16"/>
        <v>254.49353032985124</v>
      </c>
      <c r="W107">
        <f t="shared" si="16"/>
        <v>250.36800197597313</v>
      </c>
      <c r="X107">
        <f t="shared" si="16"/>
        <v>252.84331898829998</v>
      </c>
      <c r="Y107">
        <f t="shared" si="16"/>
        <v>236.88268116923433</v>
      </c>
      <c r="Z107">
        <f t="shared" si="16"/>
        <v>253.66842465907558</v>
      </c>
    </row>
    <row r="108" spans="2:26" x14ac:dyDescent="0.25">
      <c r="B108">
        <v>4.32</v>
      </c>
      <c r="C108">
        <f t="shared" ref="C108:Z108" si="17">(((($AC31-EXP(52.57-6690.9/(273.15+$AE31)-4.681*LN(273.15+$AE31)))/1013)*C31/100*0.2095*(48.998-1.335*$AE31+0.02755*POWER($AE31,2)-0.000322*POWER($AE31,3)+0.000001598*POWER($AE31,4))*32/22.414))*31.25</f>
        <v>253.20748738061795</v>
      </c>
      <c r="D108">
        <f t="shared" si="17"/>
        <v>252.38253934598342</v>
      </c>
      <c r="E108">
        <f t="shared" si="17"/>
        <v>239.28648929616119</v>
      </c>
      <c r="F108">
        <f t="shared" si="17"/>
        <v>220.36424375173306</v>
      </c>
      <c r="G108">
        <f t="shared" si="17"/>
        <v>236.45073042710519</v>
      </c>
      <c r="H108">
        <f t="shared" si="17"/>
        <v>255.26985746720405</v>
      </c>
      <c r="I108">
        <f t="shared" si="17"/>
        <v>252.79501336330068</v>
      </c>
      <c r="J108">
        <f t="shared" si="17"/>
        <v>255.68233148452134</v>
      </c>
      <c r="K108">
        <f t="shared" si="17"/>
        <v>249.90769524207997</v>
      </c>
      <c r="L108">
        <f t="shared" si="17"/>
        <v>251.97006532866618</v>
      </c>
      <c r="M108">
        <f t="shared" si="17"/>
        <v>233.61497155804926</v>
      </c>
      <c r="N108">
        <f t="shared" si="17"/>
        <v>254.85738344988678</v>
      </c>
      <c r="O108">
        <f t="shared" si="17"/>
        <v>252.79501336330068</v>
      </c>
      <c r="P108">
        <f t="shared" si="17"/>
        <v>257.35800717987257</v>
      </c>
      <c r="Q108">
        <f t="shared" si="17"/>
        <v>250.3201692593972</v>
      </c>
      <c r="R108">
        <f t="shared" si="17"/>
        <v>254.85738344988678</v>
      </c>
      <c r="S108">
        <f t="shared" si="17"/>
        <v>252.79501336330068</v>
      </c>
      <c r="T108">
        <f t="shared" si="17"/>
        <v>254.03243541525239</v>
      </c>
      <c r="U108">
        <f t="shared" si="17"/>
        <v>226.75759102015013</v>
      </c>
      <c r="V108">
        <f t="shared" si="17"/>
        <v>254.4449094325696</v>
      </c>
      <c r="W108">
        <f t="shared" si="17"/>
        <v>250.3201692593972</v>
      </c>
      <c r="X108">
        <f t="shared" si="17"/>
        <v>252.38253934598342</v>
      </c>
      <c r="Y108">
        <f t="shared" si="17"/>
        <v>235.62578239247077</v>
      </c>
      <c r="Z108">
        <f t="shared" si="17"/>
        <v>254.03243541525239</v>
      </c>
    </row>
    <row r="109" spans="2:26" x14ac:dyDescent="0.25">
      <c r="B109">
        <v>4.57</v>
      </c>
      <c r="C109">
        <f t="shared" ref="C109:Z109" si="18">(((($AC32-EXP(52.57-6690.9/(273.15+$AE32)-4.681*LN(273.15+$AE32)))/1013)*C32/100*0.2095*(48.998-1.335*$AE32+0.02755*POWER($AE32,2)-0.000322*POWER($AE32,3)+0.000001598*POWER($AE32,4))*32/22.414))*31.25</f>
        <v>252.79501336330068</v>
      </c>
      <c r="D109">
        <f t="shared" si="18"/>
        <v>252.38253934598342</v>
      </c>
      <c r="E109">
        <f t="shared" si="18"/>
        <v>239.28648929616119</v>
      </c>
      <c r="F109">
        <f t="shared" si="18"/>
        <v>219.56507534318087</v>
      </c>
      <c r="G109">
        <f t="shared" si="18"/>
        <v>236.03825640978795</v>
      </c>
      <c r="H109">
        <f t="shared" si="18"/>
        <v>255.26985746720405</v>
      </c>
      <c r="I109">
        <f t="shared" si="18"/>
        <v>252.79501336330068</v>
      </c>
      <c r="J109">
        <f t="shared" si="18"/>
        <v>256.5330591452381</v>
      </c>
      <c r="K109">
        <f t="shared" si="18"/>
        <v>249.90769524207997</v>
      </c>
      <c r="L109">
        <f t="shared" si="18"/>
        <v>252.38253934598342</v>
      </c>
      <c r="M109">
        <f t="shared" si="18"/>
        <v>233.61497155804926</v>
      </c>
      <c r="N109">
        <f t="shared" si="18"/>
        <v>254.85738344988678</v>
      </c>
      <c r="O109">
        <f t="shared" si="18"/>
        <v>252.79501336330068</v>
      </c>
      <c r="P109">
        <f t="shared" si="18"/>
        <v>257.77048119718984</v>
      </c>
      <c r="Q109">
        <f t="shared" si="18"/>
        <v>250.3201692593972</v>
      </c>
      <c r="R109">
        <f t="shared" si="18"/>
        <v>254.03243541525239</v>
      </c>
      <c r="S109">
        <f t="shared" si="18"/>
        <v>253.20748738061795</v>
      </c>
      <c r="T109">
        <f t="shared" si="18"/>
        <v>254.4449094325696</v>
      </c>
      <c r="U109">
        <f t="shared" si="18"/>
        <v>226.37089662891526</v>
      </c>
      <c r="V109">
        <f t="shared" si="18"/>
        <v>253.61996139793513</v>
      </c>
      <c r="W109">
        <f t="shared" si="18"/>
        <v>249.49522122476279</v>
      </c>
      <c r="X109">
        <f t="shared" si="18"/>
        <v>252.38253934598342</v>
      </c>
      <c r="Y109">
        <f t="shared" si="18"/>
        <v>236.45073042710519</v>
      </c>
      <c r="Z109">
        <f t="shared" si="18"/>
        <v>253.61996139793513</v>
      </c>
    </row>
    <row r="110" spans="2:26" x14ac:dyDescent="0.25">
      <c r="B110">
        <v>4.82</v>
      </c>
      <c r="C110">
        <f t="shared" ref="C110:Z110" si="19">(((($AC33-EXP(52.57-6690.9/(273.15+$AE33)-4.681*LN(273.15+$AE33)))/1013)*C33/100*0.2095*(48.998-1.335*$AE33+0.02755*POWER($AE33,2)-0.000322*POWER($AE33,3)+0.000001598*POWER($AE33,4))*32/22.414))*31.25</f>
        <v>252.79501336330068</v>
      </c>
      <c r="D110">
        <f t="shared" si="19"/>
        <v>251.97006532866618</v>
      </c>
      <c r="E110">
        <f t="shared" si="19"/>
        <v>238.87401527884398</v>
      </c>
      <c r="F110">
        <f t="shared" si="19"/>
        <v>219.178380951946</v>
      </c>
      <c r="G110">
        <f t="shared" si="19"/>
        <v>236.03825640978795</v>
      </c>
      <c r="H110">
        <f t="shared" si="19"/>
        <v>255.26985746720405</v>
      </c>
      <c r="I110">
        <f t="shared" si="19"/>
        <v>252.38253934598342</v>
      </c>
      <c r="J110">
        <f t="shared" si="19"/>
        <v>255.26985746720405</v>
      </c>
      <c r="K110">
        <f t="shared" si="19"/>
        <v>249.49522122476279</v>
      </c>
      <c r="L110">
        <f t="shared" si="19"/>
        <v>252.79501336330068</v>
      </c>
      <c r="M110">
        <f t="shared" si="19"/>
        <v>232.40332913217986</v>
      </c>
      <c r="N110">
        <f t="shared" si="19"/>
        <v>254.03243541525239</v>
      </c>
      <c r="O110">
        <f t="shared" si="19"/>
        <v>252.79501336330068</v>
      </c>
      <c r="P110">
        <f t="shared" si="19"/>
        <v>257.35800717987257</v>
      </c>
      <c r="Q110">
        <f t="shared" si="19"/>
        <v>250.73264327671453</v>
      </c>
      <c r="R110">
        <f t="shared" si="19"/>
        <v>254.03243541525239</v>
      </c>
      <c r="S110">
        <f t="shared" si="19"/>
        <v>251.97006532866618</v>
      </c>
      <c r="T110">
        <f t="shared" si="19"/>
        <v>254.03243541525239</v>
      </c>
      <c r="U110">
        <f t="shared" si="19"/>
        <v>225.95842261159808</v>
      </c>
      <c r="V110">
        <f t="shared" si="19"/>
        <v>254.03243541525239</v>
      </c>
      <c r="W110">
        <f t="shared" si="19"/>
        <v>249.90769524207997</v>
      </c>
      <c r="X110">
        <f t="shared" si="19"/>
        <v>252.38253934598342</v>
      </c>
      <c r="Y110">
        <f t="shared" si="19"/>
        <v>235.2133083751535</v>
      </c>
      <c r="Z110">
        <f t="shared" si="19"/>
        <v>254.03243541525239</v>
      </c>
    </row>
    <row r="111" spans="2:26" x14ac:dyDescent="0.25">
      <c r="B111">
        <v>5.07</v>
      </c>
      <c r="C111">
        <f t="shared" ref="C111:Z111" si="20">(((($AC34-EXP(52.57-6690.9/(273.15+$AE34)-4.681*LN(273.15+$AE34)))/1013)*C34/100*0.2095*(48.998-1.335*$AE34+0.02755*POWER($AE34,2)-0.000322*POWER($AE34,3)+0.000001598*POWER($AE34,4))*32/22.414))*31.25</f>
        <v>252.79501336330068</v>
      </c>
      <c r="D111">
        <f t="shared" si="20"/>
        <v>251.97006532866618</v>
      </c>
      <c r="E111">
        <f t="shared" si="20"/>
        <v>239.69896331347843</v>
      </c>
      <c r="F111">
        <f t="shared" si="20"/>
        <v>219.178380951946</v>
      </c>
      <c r="G111">
        <f t="shared" si="20"/>
        <v>236.83742481834014</v>
      </c>
      <c r="H111">
        <f t="shared" si="20"/>
        <v>255.26985746720405</v>
      </c>
      <c r="I111">
        <f t="shared" si="20"/>
        <v>253.20748738061795</v>
      </c>
      <c r="J111">
        <f t="shared" si="20"/>
        <v>256.5330591452381</v>
      </c>
      <c r="K111">
        <f t="shared" si="20"/>
        <v>249.49522122476279</v>
      </c>
      <c r="L111">
        <f t="shared" si="20"/>
        <v>252.79501336330068</v>
      </c>
      <c r="M111">
        <f t="shared" si="20"/>
        <v>232.7900235234147</v>
      </c>
      <c r="N111">
        <f t="shared" si="20"/>
        <v>254.03243541525239</v>
      </c>
      <c r="O111">
        <f t="shared" si="20"/>
        <v>254.03243541525239</v>
      </c>
      <c r="P111">
        <f t="shared" si="20"/>
        <v>257.35800717987257</v>
      </c>
      <c r="Q111">
        <f t="shared" si="20"/>
        <v>250.73264327671453</v>
      </c>
      <c r="R111">
        <f t="shared" si="20"/>
        <v>254.85738344988678</v>
      </c>
      <c r="S111">
        <f t="shared" si="20"/>
        <v>251.55759131134897</v>
      </c>
      <c r="T111">
        <f t="shared" si="20"/>
        <v>254.85738344988678</v>
      </c>
      <c r="U111">
        <f t="shared" si="20"/>
        <v>225.57172822036316</v>
      </c>
      <c r="V111">
        <f t="shared" si="20"/>
        <v>254.4449094325696</v>
      </c>
      <c r="W111">
        <f t="shared" si="20"/>
        <v>250.3201692593972</v>
      </c>
      <c r="X111">
        <f t="shared" si="20"/>
        <v>253.20748738061795</v>
      </c>
      <c r="Y111">
        <f t="shared" si="20"/>
        <v>235.62578239247077</v>
      </c>
      <c r="Z111">
        <f t="shared" si="20"/>
        <v>254.03243541525239</v>
      </c>
    </row>
    <row r="112" spans="2:26" x14ac:dyDescent="0.25">
      <c r="B112">
        <v>5.32</v>
      </c>
      <c r="C112">
        <f t="shared" ref="C112:Z112" si="21">(((($AC35-EXP(52.57-6690.9/(273.15+$AE35)-4.681*LN(273.15+$AE35)))/1013)*C35/100*0.2095*(48.998-1.335*$AE35+0.02755*POWER($AE35,2)-0.000322*POWER($AE35,3)+0.000001598*POWER($AE35,4))*32/22.414))*31.25</f>
        <v>252.74672527257857</v>
      </c>
      <c r="D112">
        <f t="shared" si="21"/>
        <v>252.74672527257857</v>
      </c>
      <c r="E112">
        <f t="shared" si="21"/>
        <v>239.65317678813338</v>
      </c>
      <c r="F112">
        <f t="shared" si="21"/>
        <v>218.72411897441378</v>
      </c>
      <c r="G112">
        <f t="shared" si="21"/>
        <v>236.40556436876309</v>
      </c>
      <c r="H112">
        <f t="shared" si="21"/>
        <v>255.22109663971781</v>
      </c>
      <c r="I112">
        <f t="shared" si="21"/>
        <v>253.98391095614826</v>
      </c>
      <c r="J112">
        <f t="shared" si="21"/>
        <v>256.48405702502851</v>
      </c>
      <c r="K112">
        <f t="shared" si="21"/>
        <v>250.27235390543933</v>
      </c>
      <c r="L112">
        <f t="shared" si="21"/>
        <v>253.98391095614826</v>
      </c>
      <c r="M112">
        <f t="shared" si="21"/>
        <v>232.74555672153627</v>
      </c>
      <c r="N112">
        <f t="shared" si="21"/>
        <v>255.63349186757443</v>
      </c>
      <c r="O112">
        <f t="shared" si="21"/>
        <v>253.98391095614826</v>
      </c>
      <c r="P112">
        <f t="shared" si="21"/>
        <v>257.30884748074158</v>
      </c>
      <c r="Q112">
        <f t="shared" si="21"/>
        <v>250.68474913329592</v>
      </c>
      <c r="R112">
        <f t="shared" si="21"/>
        <v>254.80870141186134</v>
      </c>
      <c r="S112">
        <f t="shared" si="21"/>
        <v>251.50953958900897</v>
      </c>
      <c r="T112">
        <f t="shared" si="21"/>
        <v>254.39630618400483</v>
      </c>
      <c r="U112">
        <f t="shared" si="21"/>
        <v>225.91526076016234</v>
      </c>
      <c r="V112">
        <f t="shared" si="21"/>
        <v>254.39630618400483</v>
      </c>
      <c r="W112">
        <f t="shared" si="21"/>
        <v>250.68474913329592</v>
      </c>
      <c r="X112">
        <f t="shared" si="21"/>
        <v>253.15912050043517</v>
      </c>
      <c r="Y112">
        <f t="shared" si="21"/>
        <v>235.58077391305002</v>
      </c>
      <c r="Z112">
        <f t="shared" si="21"/>
        <v>254.39630618400483</v>
      </c>
    </row>
    <row r="113" spans="2:26" x14ac:dyDescent="0.25">
      <c r="B113">
        <v>5.58</v>
      </c>
      <c r="C113">
        <f t="shared" ref="C113:Z113" si="22">(((($AC36-EXP(52.57-6690.9/(273.15+$AE36)-4.681*LN(273.15+$AE36)))/1013)*C36/100*0.2095*(48.998-1.335*$AE36+0.02755*POWER($AE36,2)-0.000322*POWER($AE36,3)+0.000001598*POWER($AE36,4))*32/22.414))*31.25</f>
        <v>252.33433004472212</v>
      </c>
      <c r="D113">
        <f t="shared" si="22"/>
        <v>252.74672527257857</v>
      </c>
      <c r="E113">
        <f t="shared" si="22"/>
        <v>238.82838633242022</v>
      </c>
      <c r="F113">
        <f t="shared" si="22"/>
        <v>217.53848269432629</v>
      </c>
      <c r="G113">
        <f t="shared" si="22"/>
        <v>236.40556436876309</v>
      </c>
      <c r="H113">
        <f t="shared" si="22"/>
        <v>254.80870141186134</v>
      </c>
      <c r="I113">
        <f t="shared" si="22"/>
        <v>253.98391095614826</v>
      </c>
      <c r="J113">
        <f t="shared" si="22"/>
        <v>256.04588709543094</v>
      </c>
      <c r="K113">
        <f t="shared" si="22"/>
        <v>250.27235390543933</v>
      </c>
      <c r="L113">
        <f t="shared" si="22"/>
        <v>252.33433004472212</v>
      </c>
      <c r="M113">
        <f t="shared" si="22"/>
        <v>231.9465409675642</v>
      </c>
      <c r="N113">
        <f t="shared" si="22"/>
        <v>255.63349186757443</v>
      </c>
      <c r="O113">
        <f t="shared" si="22"/>
        <v>253.15912050043517</v>
      </c>
      <c r="P113">
        <f t="shared" si="22"/>
        <v>257.72124270859814</v>
      </c>
      <c r="Q113">
        <f t="shared" si="22"/>
        <v>250.68474913329592</v>
      </c>
      <c r="R113">
        <f t="shared" si="22"/>
        <v>254.80870141186134</v>
      </c>
      <c r="S113">
        <f t="shared" si="22"/>
        <v>252.33433004472212</v>
      </c>
      <c r="T113">
        <f t="shared" si="22"/>
        <v>253.98391095614826</v>
      </c>
      <c r="U113">
        <f t="shared" si="22"/>
        <v>225.91526076016234</v>
      </c>
      <c r="V113">
        <f t="shared" si="22"/>
        <v>254.39630618400483</v>
      </c>
      <c r="W113">
        <f t="shared" si="22"/>
        <v>249.03516822186975</v>
      </c>
      <c r="X113">
        <f t="shared" si="22"/>
        <v>251.92193481686547</v>
      </c>
      <c r="Y113">
        <f t="shared" si="22"/>
        <v>235.99316914090659</v>
      </c>
      <c r="Z113">
        <f t="shared" si="22"/>
        <v>253.98391095614826</v>
      </c>
    </row>
    <row r="114" spans="2:26" x14ac:dyDescent="0.25">
      <c r="B114">
        <v>5.83</v>
      </c>
      <c r="C114">
        <f t="shared" ref="C114:Z114" si="23">(((($AC37-EXP(52.57-6690.9/(273.15+$AE37)-4.681*LN(273.15+$AE37)))/1013)*C37/100*0.2095*(48.998-1.335*$AE37+0.02755*POWER($AE37,2)-0.000322*POWER($AE37,3)+0.000001598*POWER($AE37,4))*32/22.414))*31.25</f>
        <v>252.23796391947928</v>
      </c>
      <c r="D114">
        <f t="shared" si="23"/>
        <v>251.82572618477946</v>
      </c>
      <c r="E114">
        <f t="shared" si="23"/>
        <v>239.56165357745846</v>
      </c>
      <c r="F114">
        <f t="shared" si="23"/>
        <v>216.27022156691618</v>
      </c>
      <c r="G114">
        <f t="shared" si="23"/>
        <v>236.31528141669699</v>
      </c>
      <c r="H114">
        <f t="shared" si="23"/>
        <v>254.29915259297857</v>
      </c>
      <c r="I114">
        <f t="shared" si="23"/>
        <v>253.062439388879</v>
      </c>
      <c r="J114">
        <f t="shared" si="23"/>
        <v>255.12362806237837</v>
      </c>
      <c r="K114">
        <f t="shared" si="23"/>
        <v>249.3522997765802</v>
      </c>
      <c r="L114">
        <f t="shared" si="23"/>
        <v>253.062439388879</v>
      </c>
      <c r="M114">
        <f t="shared" si="23"/>
        <v>231.85796091025472</v>
      </c>
      <c r="N114">
        <f t="shared" si="23"/>
        <v>254.71139032767843</v>
      </c>
      <c r="O114">
        <f t="shared" si="23"/>
        <v>252.65020165417917</v>
      </c>
      <c r="P114">
        <f t="shared" si="23"/>
        <v>257.2105815942964</v>
      </c>
      <c r="Q114">
        <f t="shared" si="23"/>
        <v>248.94006204188037</v>
      </c>
      <c r="R114">
        <f t="shared" si="23"/>
        <v>253.88691485827874</v>
      </c>
      <c r="S114">
        <f t="shared" si="23"/>
        <v>252.23796391947928</v>
      </c>
      <c r="T114">
        <f t="shared" si="23"/>
        <v>253.88691485827874</v>
      </c>
      <c r="U114">
        <f t="shared" si="23"/>
        <v>224.61803569458843</v>
      </c>
      <c r="V114">
        <f t="shared" si="23"/>
        <v>253.88691485827874</v>
      </c>
      <c r="W114">
        <f t="shared" si="23"/>
        <v>249.3522997765802</v>
      </c>
      <c r="X114">
        <f t="shared" si="23"/>
        <v>252.65020165417917</v>
      </c>
      <c r="Y114">
        <f t="shared" si="23"/>
        <v>235.49080594729736</v>
      </c>
      <c r="Z114">
        <f t="shared" si="23"/>
        <v>253.47467712357886</v>
      </c>
    </row>
    <row r="115" spans="2:26" x14ac:dyDescent="0.25">
      <c r="B115">
        <v>6.08</v>
      </c>
      <c r="C115">
        <f t="shared" ref="C115:Z115" si="24">(((($AC38-EXP(52.57-6690.9/(273.15+$AE38)-4.681*LN(273.15+$AE38)))/1013)*C38/100*0.2095*(48.998-1.335*$AE38+0.02755*POWER($AE38,2)-0.000322*POWER($AE38,3)+0.000001598*POWER($AE38,4))*32/22.414))*31.25</f>
        <v>252.74672527257857</v>
      </c>
      <c r="D115">
        <f t="shared" si="24"/>
        <v>252.33433004472212</v>
      </c>
      <c r="E115">
        <f t="shared" si="24"/>
        <v>239.65317678813338</v>
      </c>
      <c r="F115">
        <f t="shared" si="24"/>
        <v>217.53848269432629</v>
      </c>
      <c r="G115">
        <f t="shared" si="24"/>
        <v>236.7921848948786</v>
      </c>
      <c r="H115">
        <f t="shared" si="24"/>
        <v>254.80870141186134</v>
      </c>
      <c r="I115">
        <f t="shared" si="24"/>
        <v>253.15912050043517</v>
      </c>
      <c r="J115">
        <f t="shared" si="24"/>
        <v>256.48405702502851</v>
      </c>
      <c r="K115">
        <f t="shared" si="24"/>
        <v>249.44756344972623</v>
      </c>
      <c r="L115">
        <f t="shared" si="24"/>
        <v>252.74672527257857</v>
      </c>
      <c r="M115">
        <f t="shared" si="24"/>
        <v>231.9465409675642</v>
      </c>
      <c r="N115">
        <f t="shared" si="24"/>
        <v>254.80870141186134</v>
      </c>
      <c r="O115">
        <f t="shared" si="24"/>
        <v>252.74672527257857</v>
      </c>
      <c r="P115">
        <f t="shared" si="24"/>
        <v>257.30884748074158</v>
      </c>
      <c r="Q115">
        <f t="shared" si="24"/>
        <v>250.27235390543933</v>
      </c>
      <c r="R115">
        <f t="shared" si="24"/>
        <v>253.57151572829167</v>
      </c>
      <c r="S115">
        <f t="shared" si="24"/>
        <v>252.74672527257857</v>
      </c>
      <c r="T115">
        <f t="shared" si="24"/>
        <v>254.80870141186134</v>
      </c>
      <c r="U115">
        <f t="shared" si="24"/>
        <v>225.11624500619024</v>
      </c>
      <c r="V115">
        <f t="shared" si="24"/>
        <v>253.98391095614826</v>
      </c>
      <c r="W115">
        <f t="shared" si="24"/>
        <v>249.44756344972623</v>
      </c>
      <c r="X115">
        <f t="shared" si="24"/>
        <v>252.74672527257857</v>
      </c>
      <c r="Y115">
        <f t="shared" si="24"/>
        <v>234.78175815907792</v>
      </c>
      <c r="Z115">
        <f t="shared" si="24"/>
        <v>253.98391095614826</v>
      </c>
    </row>
    <row r="116" spans="2:26" x14ac:dyDescent="0.25">
      <c r="B116">
        <v>6.33</v>
      </c>
      <c r="C116">
        <f t="shared" ref="C116:Z116" si="25">(((($AC39-EXP(52.57-6690.9/(273.15+$AE39)-4.681*LN(273.15+$AE39)))/1013)*C39/100*0.2095*(48.998-1.335*$AE39+0.02755*POWER($AE39,2)-0.000322*POWER($AE39,3)+0.000001598*POWER($AE39,4))*32/22.414))*31.25</f>
        <v>252.74672527257857</v>
      </c>
      <c r="D116">
        <f t="shared" si="25"/>
        <v>252.33433004472212</v>
      </c>
      <c r="E116">
        <f t="shared" si="25"/>
        <v>239.24078156027679</v>
      </c>
      <c r="F116">
        <f t="shared" si="25"/>
        <v>216.35284641423866</v>
      </c>
      <c r="G116">
        <f t="shared" si="25"/>
        <v>235.99316914090659</v>
      </c>
      <c r="H116">
        <f t="shared" si="25"/>
        <v>255.22109663971781</v>
      </c>
      <c r="I116">
        <f t="shared" si="25"/>
        <v>253.15912050043517</v>
      </c>
      <c r="J116">
        <f t="shared" si="25"/>
        <v>256.48405702502851</v>
      </c>
      <c r="K116">
        <f t="shared" si="25"/>
        <v>250.68474913329592</v>
      </c>
      <c r="L116">
        <f t="shared" si="25"/>
        <v>252.74672527257857</v>
      </c>
      <c r="M116">
        <f t="shared" si="25"/>
        <v>231.14752521359219</v>
      </c>
      <c r="N116">
        <f t="shared" si="25"/>
        <v>254.39630618400483</v>
      </c>
      <c r="O116">
        <f t="shared" si="25"/>
        <v>253.57151572829167</v>
      </c>
      <c r="P116">
        <f t="shared" si="25"/>
        <v>257.30884748074158</v>
      </c>
      <c r="Q116">
        <f t="shared" si="25"/>
        <v>250.27235390543933</v>
      </c>
      <c r="R116">
        <f t="shared" si="25"/>
        <v>254.80870141186134</v>
      </c>
      <c r="S116">
        <f t="shared" si="25"/>
        <v>251.92193481686547</v>
      </c>
      <c r="T116">
        <f t="shared" si="25"/>
        <v>254.39630618400483</v>
      </c>
      <c r="U116">
        <f t="shared" si="25"/>
        <v>224.7038497783337</v>
      </c>
      <c r="V116">
        <f t="shared" si="25"/>
        <v>254.80870141186134</v>
      </c>
      <c r="W116">
        <f t="shared" si="25"/>
        <v>250.68474913329592</v>
      </c>
      <c r="X116">
        <f t="shared" si="25"/>
        <v>252.33433004472212</v>
      </c>
      <c r="Y116">
        <f t="shared" si="25"/>
        <v>235.16837868519346</v>
      </c>
      <c r="Z116">
        <f t="shared" si="25"/>
        <v>253.98391095614826</v>
      </c>
    </row>
    <row r="117" spans="2:26" x14ac:dyDescent="0.25">
      <c r="B117">
        <v>6.58</v>
      </c>
      <c r="C117">
        <f t="shared" ref="C117:Z117" si="26">(((($AC40-EXP(52.57-6690.9/(273.15+$AE40)-4.681*LN(273.15+$AE40)))/1013)*C40/100*0.2095*(48.998-1.335*$AE40+0.02755*POWER($AE40,2)-0.000322*POWER($AE40,3)+0.000001598*POWER($AE40,4))*32/22.414))*31.25</f>
        <v>252.65020165417917</v>
      </c>
      <c r="D117">
        <f t="shared" si="26"/>
        <v>251.41348845007948</v>
      </c>
      <c r="E117">
        <f t="shared" si="26"/>
        <v>239.14941584275863</v>
      </c>
      <c r="F117">
        <f t="shared" si="26"/>
        <v>216.27022156691618</v>
      </c>
      <c r="G117">
        <f t="shared" si="26"/>
        <v>236.31528141669699</v>
      </c>
      <c r="H117">
        <f t="shared" si="26"/>
        <v>254.71139032767843</v>
      </c>
      <c r="I117">
        <f t="shared" si="26"/>
        <v>251.41348845007948</v>
      </c>
      <c r="J117">
        <f t="shared" si="26"/>
        <v>255.5358657970782</v>
      </c>
      <c r="K117">
        <f t="shared" si="26"/>
        <v>249.3522997765802</v>
      </c>
      <c r="L117">
        <f t="shared" si="26"/>
        <v>251.82572618477946</v>
      </c>
      <c r="M117">
        <f t="shared" si="26"/>
        <v>231.0592502992738</v>
      </c>
      <c r="N117">
        <f t="shared" si="26"/>
        <v>254.29915259297857</v>
      </c>
      <c r="O117">
        <f t="shared" si="26"/>
        <v>252.65020165417917</v>
      </c>
      <c r="P117">
        <f t="shared" si="26"/>
        <v>256.38610612489668</v>
      </c>
      <c r="Q117">
        <f t="shared" si="26"/>
        <v>249.76453751128011</v>
      </c>
      <c r="R117">
        <f t="shared" si="26"/>
        <v>254.29915259297857</v>
      </c>
      <c r="S117">
        <f t="shared" si="26"/>
        <v>252.23796391947928</v>
      </c>
      <c r="T117">
        <f t="shared" si="26"/>
        <v>254.29915259297857</v>
      </c>
      <c r="U117">
        <f t="shared" si="26"/>
        <v>223.43285220732625</v>
      </c>
      <c r="V117">
        <f t="shared" si="26"/>
        <v>253.88691485827874</v>
      </c>
      <c r="W117">
        <f t="shared" si="26"/>
        <v>249.76453751128011</v>
      </c>
      <c r="X117">
        <f t="shared" si="26"/>
        <v>252.23796391947928</v>
      </c>
      <c r="Y117">
        <f t="shared" si="26"/>
        <v>234.2798576016165</v>
      </c>
      <c r="Z117">
        <f t="shared" si="26"/>
        <v>253.47467712357886</v>
      </c>
    </row>
    <row r="118" spans="2:26" x14ac:dyDescent="0.25">
      <c r="B118">
        <v>6.83</v>
      </c>
      <c r="C118">
        <f t="shared" ref="C118:Z118" si="27">(((($AC41-EXP(52.57-6690.9/(273.15+$AE41)-4.681*LN(273.15+$AE41)))/1013)*C41/100*0.2095*(48.998-1.335*$AE41+0.02755*POWER($AE41,2)-0.000322*POWER($AE41,3)+0.000001598*POWER($AE41,4))*32/22.414))*31.25</f>
        <v>253.47467712357886</v>
      </c>
      <c r="D118">
        <f t="shared" si="27"/>
        <v>251.82572618477946</v>
      </c>
      <c r="E118">
        <f t="shared" si="27"/>
        <v>239.14941584275863</v>
      </c>
      <c r="F118">
        <f t="shared" si="27"/>
        <v>216.27022156691618</v>
      </c>
      <c r="G118">
        <f t="shared" si="27"/>
        <v>235.90304368199716</v>
      </c>
      <c r="H118">
        <f t="shared" si="27"/>
        <v>254.71139032767843</v>
      </c>
      <c r="I118">
        <f t="shared" si="27"/>
        <v>251.41348845007948</v>
      </c>
      <c r="J118">
        <f t="shared" si="27"/>
        <v>256.38610612489668</v>
      </c>
      <c r="K118">
        <f t="shared" si="27"/>
        <v>250.17677524597991</v>
      </c>
      <c r="L118">
        <f t="shared" si="27"/>
        <v>252.23796391947928</v>
      </c>
      <c r="M118">
        <f t="shared" si="27"/>
        <v>230.64701256457388</v>
      </c>
      <c r="N118">
        <f t="shared" si="27"/>
        <v>254.71139032767843</v>
      </c>
      <c r="O118">
        <f t="shared" si="27"/>
        <v>253.062439388879</v>
      </c>
      <c r="P118">
        <f t="shared" si="27"/>
        <v>257.62281932899623</v>
      </c>
      <c r="Q118">
        <f t="shared" si="27"/>
        <v>250.17677524597991</v>
      </c>
      <c r="R118">
        <f t="shared" si="27"/>
        <v>253.88691485827874</v>
      </c>
      <c r="S118">
        <f t="shared" si="27"/>
        <v>252.23796391947928</v>
      </c>
      <c r="T118">
        <f t="shared" si="27"/>
        <v>254.29915259297857</v>
      </c>
      <c r="U118">
        <f t="shared" si="27"/>
        <v>223.43285220732625</v>
      </c>
      <c r="V118">
        <f t="shared" si="27"/>
        <v>254.29915259297857</v>
      </c>
      <c r="W118">
        <f t="shared" si="27"/>
        <v>249.3522997765802</v>
      </c>
      <c r="X118">
        <f t="shared" si="27"/>
        <v>252.23796391947928</v>
      </c>
      <c r="Y118">
        <f t="shared" si="27"/>
        <v>234.2798576016165</v>
      </c>
      <c r="Z118">
        <f t="shared" si="27"/>
        <v>252.65020165417917</v>
      </c>
    </row>
    <row r="119" spans="2:26" x14ac:dyDescent="0.25">
      <c r="B119">
        <v>7.08</v>
      </c>
      <c r="C119">
        <f t="shared" ref="C119:Z119" si="28">(((($AC42-EXP(52.57-6690.9/(273.15+$AE42)-4.681*LN(273.15+$AE42)))/1013)*C42/100*0.2095*(48.998-1.335*$AE42+0.02755*POWER($AE42,2)-0.000322*POWER($AE42,3)+0.000001598*POWER($AE42,4))*32/22.414))*31.25</f>
        <v>252.23796391947928</v>
      </c>
      <c r="D119">
        <f t="shared" si="28"/>
        <v>251.41348845007948</v>
      </c>
      <c r="E119">
        <f t="shared" si="28"/>
        <v>238.73717810805871</v>
      </c>
      <c r="F119">
        <f t="shared" si="28"/>
        <v>215.47151095593514</v>
      </c>
      <c r="G119">
        <f t="shared" si="28"/>
        <v>236.31528141669699</v>
      </c>
      <c r="H119">
        <f t="shared" si="28"/>
        <v>255.12362806237837</v>
      </c>
      <c r="I119">
        <f t="shared" si="28"/>
        <v>252.23796391947928</v>
      </c>
      <c r="J119">
        <f t="shared" si="28"/>
        <v>255.12362806237837</v>
      </c>
      <c r="K119">
        <f t="shared" si="28"/>
        <v>250.17677524597991</v>
      </c>
      <c r="L119">
        <f t="shared" si="28"/>
        <v>252.65020165417917</v>
      </c>
      <c r="M119">
        <f t="shared" si="28"/>
        <v>229.84830195359288</v>
      </c>
      <c r="N119">
        <f t="shared" si="28"/>
        <v>254.29915259297857</v>
      </c>
      <c r="O119">
        <f t="shared" si="28"/>
        <v>251.82572618477946</v>
      </c>
      <c r="P119">
        <f t="shared" si="28"/>
        <v>256.79834385959657</v>
      </c>
      <c r="Q119">
        <f t="shared" si="28"/>
        <v>249.76453751128011</v>
      </c>
      <c r="R119">
        <f t="shared" si="28"/>
        <v>254.29915259297857</v>
      </c>
      <c r="S119">
        <f t="shared" si="28"/>
        <v>252.23796391947928</v>
      </c>
      <c r="T119">
        <f t="shared" si="28"/>
        <v>254.29915259297857</v>
      </c>
      <c r="U119">
        <f t="shared" si="28"/>
        <v>223.43285220732625</v>
      </c>
      <c r="V119">
        <f t="shared" si="28"/>
        <v>253.88691485827874</v>
      </c>
      <c r="W119">
        <f t="shared" si="28"/>
        <v>250.17677524597991</v>
      </c>
      <c r="X119">
        <f t="shared" si="28"/>
        <v>251.00125071537971</v>
      </c>
      <c r="Y119">
        <f t="shared" si="28"/>
        <v>233.48114699063549</v>
      </c>
      <c r="Z119">
        <f t="shared" si="28"/>
        <v>253.88691485827874</v>
      </c>
    </row>
    <row r="120" spans="2:26" x14ac:dyDescent="0.25">
      <c r="B120">
        <v>7.33</v>
      </c>
      <c r="C120">
        <f t="shared" ref="C120:Z120" si="29">(((($AC43-EXP(52.57-6690.9/(273.15+$AE43)-4.681*LN(273.15+$AE43)))/1013)*C43/100*0.2095*(48.998-1.335*$AE43+0.02755*POWER($AE43,2)-0.000322*POWER($AE43,3)+0.000001598*POWER($AE43,4))*32/22.414))*31.25</f>
        <v>252.65020165417917</v>
      </c>
      <c r="D120">
        <f t="shared" si="29"/>
        <v>251.82572618477946</v>
      </c>
      <c r="E120">
        <f t="shared" si="29"/>
        <v>239.14941584275863</v>
      </c>
      <c r="F120">
        <f t="shared" si="29"/>
        <v>215.47151095593514</v>
      </c>
      <c r="G120">
        <f t="shared" si="29"/>
        <v>236.31528141669699</v>
      </c>
      <c r="H120">
        <f t="shared" si="29"/>
        <v>255.12362806237837</v>
      </c>
      <c r="I120">
        <f t="shared" si="29"/>
        <v>252.65020165417917</v>
      </c>
      <c r="J120">
        <f t="shared" si="29"/>
        <v>255.94810353177806</v>
      </c>
      <c r="K120">
        <f t="shared" si="29"/>
        <v>249.3522997765802</v>
      </c>
      <c r="L120">
        <f t="shared" si="29"/>
        <v>251.41348845007948</v>
      </c>
      <c r="M120">
        <f t="shared" si="29"/>
        <v>229.43606421889308</v>
      </c>
      <c r="N120">
        <f t="shared" si="29"/>
        <v>253.88691485827874</v>
      </c>
      <c r="O120">
        <f t="shared" si="29"/>
        <v>253.062439388879</v>
      </c>
      <c r="P120">
        <f t="shared" si="29"/>
        <v>256.79834385959657</v>
      </c>
      <c r="Q120">
        <f t="shared" si="29"/>
        <v>249.3522997765802</v>
      </c>
      <c r="R120">
        <f t="shared" si="29"/>
        <v>253.88691485827874</v>
      </c>
      <c r="S120">
        <f t="shared" si="29"/>
        <v>251.82572618477946</v>
      </c>
      <c r="T120">
        <f t="shared" si="29"/>
        <v>254.29915259297857</v>
      </c>
      <c r="U120">
        <f t="shared" si="29"/>
        <v>223.43285220732625</v>
      </c>
      <c r="V120">
        <f t="shared" si="29"/>
        <v>253.47467712357886</v>
      </c>
      <c r="W120">
        <f t="shared" si="29"/>
        <v>250.17677524597991</v>
      </c>
      <c r="X120">
        <f t="shared" si="29"/>
        <v>252.23796391947928</v>
      </c>
      <c r="Y120">
        <f t="shared" si="29"/>
        <v>235.49080594729736</v>
      </c>
      <c r="Z120">
        <f t="shared" si="29"/>
        <v>253.062439388879</v>
      </c>
    </row>
    <row r="121" spans="2:26" x14ac:dyDescent="0.25">
      <c r="B121">
        <v>7.58</v>
      </c>
      <c r="C121">
        <f t="shared" ref="C121:Z121" si="30">(((($AC44-EXP(52.57-6690.9/(273.15+$AE44)-4.681*LN(273.15+$AE44)))/1013)*C44/100*0.2095*(48.998-1.335*$AE44+0.02755*POWER($AE44,2)-0.000322*POWER($AE44,3)+0.000001598*POWER($AE44,4))*32/22.414))*31.25</f>
        <v>252.65020165417917</v>
      </c>
      <c r="D121">
        <f t="shared" si="30"/>
        <v>252.65020165417917</v>
      </c>
      <c r="E121">
        <f t="shared" si="30"/>
        <v>238.73717810805871</v>
      </c>
      <c r="F121">
        <f t="shared" si="30"/>
        <v>215.47151095593514</v>
      </c>
      <c r="G121">
        <f t="shared" si="30"/>
        <v>236.31528141669699</v>
      </c>
      <c r="H121">
        <f t="shared" si="30"/>
        <v>254.71139032767843</v>
      </c>
      <c r="I121">
        <f t="shared" si="30"/>
        <v>252.23796391947928</v>
      </c>
      <c r="J121">
        <f t="shared" si="30"/>
        <v>255.12362806237837</v>
      </c>
      <c r="K121">
        <f t="shared" si="30"/>
        <v>249.76453751128011</v>
      </c>
      <c r="L121">
        <f t="shared" si="30"/>
        <v>252.65020165417917</v>
      </c>
      <c r="M121">
        <f t="shared" si="30"/>
        <v>229.84830195359288</v>
      </c>
      <c r="N121">
        <f t="shared" si="30"/>
        <v>253.88691485827874</v>
      </c>
      <c r="O121">
        <f t="shared" si="30"/>
        <v>253.47467712357886</v>
      </c>
      <c r="P121">
        <f t="shared" si="30"/>
        <v>257.2105815942964</v>
      </c>
      <c r="Q121">
        <f t="shared" si="30"/>
        <v>250.17677524597991</v>
      </c>
      <c r="R121">
        <f t="shared" si="30"/>
        <v>253.88691485827874</v>
      </c>
      <c r="S121">
        <f t="shared" si="30"/>
        <v>252.65020165417917</v>
      </c>
      <c r="T121">
        <f t="shared" si="30"/>
        <v>253.88691485827874</v>
      </c>
      <c r="U121">
        <f t="shared" si="30"/>
        <v>222.63414159634524</v>
      </c>
      <c r="V121">
        <f t="shared" si="30"/>
        <v>254.29915259297857</v>
      </c>
      <c r="W121">
        <f t="shared" si="30"/>
        <v>249.76453751128011</v>
      </c>
      <c r="X121">
        <f t="shared" si="30"/>
        <v>251.82572618477946</v>
      </c>
      <c r="Y121">
        <f t="shared" si="30"/>
        <v>233.8676198669165</v>
      </c>
      <c r="Z121">
        <f t="shared" si="30"/>
        <v>253.47467712357886</v>
      </c>
    </row>
    <row r="122" spans="2:26" x14ac:dyDescent="0.25">
      <c r="B122">
        <v>7.83</v>
      </c>
      <c r="C122">
        <f t="shared" ref="C122:Z122" si="31">(((($AC45-EXP(52.57-6690.9/(273.15+$AE45)-4.681*LN(273.15+$AE45)))/1013)*C45/100*0.2095*(48.998-1.335*$AE45+0.02755*POWER($AE45,2)-0.000322*POWER($AE45,3)+0.000001598*POWER($AE45,4))*32/22.414))*31.25</f>
        <v>252.65020165417917</v>
      </c>
      <c r="D122">
        <f t="shared" si="31"/>
        <v>252.65020165417917</v>
      </c>
      <c r="E122">
        <f t="shared" si="31"/>
        <v>238.73717810805871</v>
      </c>
      <c r="F122">
        <f t="shared" si="31"/>
        <v>215.08503807965403</v>
      </c>
      <c r="G122">
        <f t="shared" si="31"/>
        <v>236.70175429297817</v>
      </c>
      <c r="H122">
        <f t="shared" si="31"/>
        <v>255.94810353177806</v>
      </c>
      <c r="I122">
        <f t="shared" si="31"/>
        <v>252.65020165417917</v>
      </c>
      <c r="J122">
        <f t="shared" si="31"/>
        <v>255.94810353177806</v>
      </c>
      <c r="K122">
        <f t="shared" si="31"/>
        <v>250.17677524597991</v>
      </c>
      <c r="L122">
        <f t="shared" si="31"/>
        <v>252.65020165417917</v>
      </c>
      <c r="M122">
        <f t="shared" si="31"/>
        <v>229.43606421889308</v>
      </c>
      <c r="N122">
        <f t="shared" si="31"/>
        <v>253.88691485827874</v>
      </c>
      <c r="O122">
        <f t="shared" si="31"/>
        <v>252.23796391947928</v>
      </c>
      <c r="P122">
        <f t="shared" si="31"/>
        <v>257.62281932899623</v>
      </c>
      <c r="Q122">
        <f t="shared" si="31"/>
        <v>249.3522997765802</v>
      </c>
      <c r="R122">
        <f t="shared" si="31"/>
        <v>254.29915259297857</v>
      </c>
      <c r="S122">
        <f t="shared" si="31"/>
        <v>252.65020165417917</v>
      </c>
      <c r="T122">
        <f t="shared" si="31"/>
        <v>254.29915259297857</v>
      </c>
      <c r="U122">
        <f t="shared" si="31"/>
        <v>223.02061447262642</v>
      </c>
      <c r="V122">
        <f t="shared" si="31"/>
        <v>254.71139032767843</v>
      </c>
      <c r="W122">
        <f t="shared" si="31"/>
        <v>250.17677524597991</v>
      </c>
      <c r="X122">
        <f t="shared" si="31"/>
        <v>251.41348845007948</v>
      </c>
      <c r="Y122">
        <f t="shared" si="31"/>
        <v>234.2798576016165</v>
      </c>
      <c r="Z122">
        <f t="shared" si="31"/>
        <v>253.062439388879</v>
      </c>
    </row>
    <row r="123" spans="2:26" x14ac:dyDescent="0.25">
      <c r="B123">
        <v>8.08</v>
      </c>
      <c r="C123">
        <f t="shared" ref="C123:Z123" si="32">(((($AC46-EXP(52.57-6690.9/(273.15+$AE46)-4.681*LN(273.15+$AE46)))/1013)*C46/100*0.2095*(48.998-1.335*$AE46+0.02755*POWER($AE46,2)-0.000322*POWER($AE46,3)+0.000001598*POWER($AE46,4))*32/22.414))*31.25</f>
        <v>252.65020165417917</v>
      </c>
      <c r="D123">
        <f t="shared" si="32"/>
        <v>251.41348845007948</v>
      </c>
      <c r="E123">
        <f t="shared" si="32"/>
        <v>238.73717810805871</v>
      </c>
      <c r="F123">
        <f t="shared" si="32"/>
        <v>213.48761685769205</v>
      </c>
      <c r="G123">
        <f t="shared" si="32"/>
        <v>236.70175429297817</v>
      </c>
      <c r="H123">
        <f t="shared" si="32"/>
        <v>253.88691485827874</v>
      </c>
      <c r="I123">
        <f t="shared" si="32"/>
        <v>251.41348845007948</v>
      </c>
      <c r="J123">
        <f t="shared" si="32"/>
        <v>256.38610612489668</v>
      </c>
      <c r="K123">
        <f t="shared" si="32"/>
        <v>249.3522997765802</v>
      </c>
      <c r="L123">
        <f t="shared" si="32"/>
        <v>251.41348845007948</v>
      </c>
      <c r="M123">
        <f t="shared" si="32"/>
        <v>229.04959134261196</v>
      </c>
      <c r="N123">
        <f t="shared" si="32"/>
        <v>253.88691485827874</v>
      </c>
      <c r="O123">
        <f t="shared" si="32"/>
        <v>252.65020165417917</v>
      </c>
      <c r="P123">
        <f t="shared" si="32"/>
        <v>256.38610612489668</v>
      </c>
      <c r="Q123">
        <f t="shared" si="32"/>
        <v>249.3522997765802</v>
      </c>
      <c r="R123">
        <f t="shared" si="32"/>
        <v>253.47467712357886</v>
      </c>
      <c r="S123">
        <f t="shared" si="32"/>
        <v>251.82572618477946</v>
      </c>
      <c r="T123">
        <f t="shared" si="32"/>
        <v>253.47467712357886</v>
      </c>
      <c r="U123">
        <f t="shared" si="32"/>
        <v>222.22190386164544</v>
      </c>
      <c r="V123">
        <f t="shared" si="32"/>
        <v>253.88691485827874</v>
      </c>
      <c r="W123">
        <f t="shared" si="32"/>
        <v>248.94006204188037</v>
      </c>
      <c r="X123">
        <f t="shared" si="32"/>
        <v>251.82572618477946</v>
      </c>
      <c r="Y123">
        <f t="shared" si="32"/>
        <v>233.8676198669165</v>
      </c>
      <c r="Z123">
        <f t="shared" si="32"/>
        <v>253.062439388879</v>
      </c>
    </row>
    <row r="124" spans="2:26" x14ac:dyDescent="0.25">
      <c r="B124">
        <v>8.33</v>
      </c>
      <c r="C124">
        <f t="shared" ref="C124:Z124" si="33">(((($AC47-EXP(52.57-6690.9/(273.15+$AE47)-4.681*LN(273.15+$AE47)))/1013)*C47/100*0.2095*(48.998-1.335*$AE47+0.02755*POWER($AE47,2)-0.000322*POWER($AE47,3)+0.000001598*POWER($AE47,4))*32/22.414))*31.25</f>
        <v>252.23796391947928</v>
      </c>
      <c r="D124">
        <f t="shared" si="33"/>
        <v>251.82572618477946</v>
      </c>
      <c r="E124">
        <f t="shared" si="33"/>
        <v>237.93846749707774</v>
      </c>
      <c r="F124">
        <f t="shared" si="33"/>
        <v>213.8998545923919</v>
      </c>
      <c r="G124">
        <f t="shared" si="33"/>
        <v>236.70175429297817</v>
      </c>
      <c r="H124">
        <f t="shared" si="33"/>
        <v>254.29915259297857</v>
      </c>
      <c r="I124">
        <f t="shared" si="33"/>
        <v>251.00125071537971</v>
      </c>
      <c r="J124">
        <f t="shared" si="33"/>
        <v>255.94810353177806</v>
      </c>
      <c r="K124">
        <f t="shared" si="33"/>
        <v>249.3522997765802</v>
      </c>
      <c r="L124">
        <f t="shared" si="33"/>
        <v>252.65020165417917</v>
      </c>
      <c r="M124">
        <f t="shared" si="33"/>
        <v>229.84830195359288</v>
      </c>
      <c r="N124">
        <f t="shared" si="33"/>
        <v>254.29915259297857</v>
      </c>
      <c r="O124">
        <f t="shared" si="33"/>
        <v>252.65020165417917</v>
      </c>
      <c r="P124">
        <f t="shared" si="33"/>
        <v>257.62281932899623</v>
      </c>
      <c r="Q124">
        <f t="shared" si="33"/>
        <v>249.76453751128011</v>
      </c>
      <c r="R124">
        <f t="shared" si="33"/>
        <v>253.062439388879</v>
      </c>
      <c r="S124">
        <f t="shared" si="33"/>
        <v>252.23796391947928</v>
      </c>
      <c r="T124">
        <f t="shared" si="33"/>
        <v>254.29915259297857</v>
      </c>
      <c r="U124">
        <f t="shared" si="33"/>
        <v>223.43285220732625</v>
      </c>
      <c r="V124">
        <f t="shared" si="33"/>
        <v>253.88691485827874</v>
      </c>
      <c r="W124">
        <f t="shared" si="33"/>
        <v>248.94006204188037</v>
      </c>
      <c r="X124">
        <f t="shared" si="33"/>
        <v>251.00125071537971</v>
      </c>
      <c r="Y124">
        <f t="shared" si="33"/>
        <v>234.2798576016165</v>
      </c>
      <c r="Z124">
        <f t="shared" si="33"/>
        <v>253.88691485827874</v>
      </c>
    </row>
    <row r="125" spans="2:26" x14ac:dyDescent="0.25">
      <c r="B125">
        <v>8.58</v>
      </c>
      <c r="C125">
        <f t="shared" ref="C125:Z125" si="34">(((($AC48-EXP(52.57-6690.9/(273.15+$AE48)-4.681*LN(273.15+$AE48)))/1013)*C48/100*0.2095*(48.998-1.335*$AE48+0.02755*POWER($AE48,2)-0.000322*POWER($AE48,3)+0.000001598*POWER($AE48,4))*32/22.414))*31.25</f>
        <v>252.65020165417917</v>
      </c>
      <c r="D125">
        <f t="shared" si="34"/>
        <v>252.23796391947928</v>
      </c>
      <c r="E125">
        <f t="shared" si="34"/>
        <v>238.32494037335888</v>
      </c>
      <c r="F125">
        <f t="shared" si="34"/>
        <v>213.8998545923919</v>
      </c>
      <c r="G125">
        <f t="shared" si="34"/>
        <v>236.70175429297817</v>
      </c>
      <c r="H125">
        <f t="shared" si="34"/>
        <v>255.12362806237837</v>
      </c>
      <c r="I125">
        <f t="shared" si="34"/>
        <v>252.23796391947928</v>
      </c>
      <c r="J125">
        <f t="shared" si="34"/>
        <v>255.5358657970782</v>
      </c>
      <c r="K125">
        <f t="shared" si="34"/>
        <v>248.94006204188037</v>
      </c>
      <c r="L125">
        <f t="shared" si="34"/>
        <v>251.82572618477946</v>
      </c>
      <c r="M125">
        <f t="shared" si="34"/>
        <v>229.84830195359288</v>
      </c>
      <c r="N125">
        <f t="shared" si="34"/>
        <v>253.88691485827874</v>
      </c>
      <c r="O125">
        <f t="shared" si="34"/>
        <v>252.23796391947928</v>
      </c>
      <c r="P125">
        <f t="shared" si="34"/>
        <v>256.79834385959657</v>
      </c>
      <c r="Q125">
        <f t="shared" si="34"/>
        <v>250.17677524597991</v>
      </c>
      <c r="R125">
        <f t="shared" si="34"/>
        <v>253.47467712357886</v>
      </c>
      <c r="S125">
        <f t="shared" si="34"/>
        <v>252.23796391947928</v>
      </c>
      <c r="T125">
        <f t="shared" si="34"/>
        <v>254.71139032767843</v>
      </c>
      <c r="U125">
        <f t="shared" si="34"/>
        <v>222.63414159634524</v>
      </c>
      <c r="V125">
        <f t="shared" si="34"/>
        <v>254.71139032767843</v>
      </c>
      <c r="W125">
        <f t="shared" si="34"/>
        <v>249.3522997765802</v>
      </c>
      <c r="X125">
        <f t="shared" si="34"/>
        <v>252.23796391947928</v>
      </c>
      <c r="Y125">
        <f t="shared" si="34"/>
        <v>234.2798576016165</v>
      </c>
      <c r="Z125">
        <f t="shared" si="34"/>
        <v>253.47467712357886</v>
      </c>
    </row>
    <row r="126" spans="2:26" x14ac:dyDescent="0.25">
      <c r="B126">
        <v>8.83</v>
      </c>
      <c r="C126">
        <f t="shared" ref="C126:Z126" si="35">(((($AC49-EXP(52.57-6690.9/(273.15+$AE49)-4.681*LN(273.15+$AE49)))/1013)*C49/100*0.2095*(48.998-1.335*$AE49+0.02755*POWER($AE49,2)-0.000322*POWER($AE49,3)+0.000001598*POWER($AE49,4))*32/22.414))*31.25</f>
        <v>252.65020165417917</v>
      </c>
      <c r="D126">
        <f t="shared" si="35"/>
        <v>252.23796391947928</v>
      </c>
      <c r="E126">
        <f t="shared" si="35"/>
        <v>238.73717810805871</v>
      </c>
      <c r="F126">
        <f t="shared" si="35"/>
        <v>213.8998545923919</v>
      </c>
      <c r="G126">
        <f t="shared" si="35"/>
        <v>235.07856821259745</v>
      </c>
      <c r="H126">
        <f t="shared" si="35"/>
        <v>254.71139032767843</v>
      </c>
      <c r="I126">
        <f t="shared" si="35"/>
        <v>252.23796391947928</v>
      </c>
      <c r="J126">
        <f t="shared" si="35"/>
        <v>254.71139032767843</v>
      </c>
      <c r="K126">
        <f t="shared" si="35"/>
        <v>249.76453751128011</v>
      </c>
      <c r="L126">
        <f t="shared" si="35"/>
        <v>252.23796391947928</v>
      </c>
      <c r="M126">
        <f t="shared" si="35"/>
        <v>229.04959134261196</v>
      </c>
      <c r="N126">
        <f t="shared" si="35"/>
        <v>253.062439388879</v>
      </c>
      <c r="O126">
        <f t="shared" si="35"/>
        <v>252.65020165417917</v>
      </c>
      <c r="P126">
        <f t="shared" si="35"/>
        <v>256.79834385959657</v>
      </c>
      <c r="Q126">
        <f t="shared" si="35"/>
        <v>249.3522997765802</v>
      </c>
      <c r="R126">
        <f t="shared" si="35"/>
        <v>253.47467712357886</v>
      </c>
      <c r="S126">
        <f t="shared" si="35"/>
        <v>251.82572618477946</v>
      </c>
      <c r="T126">
        <f t="shared" si="35"/>
        <v>253.88691485827874</v>
      </c>
      <c r="U126">
        <f t="shared" si="35"/>
        <v>222.22190386164544</v>
      </c>
      <c r="V126">
        <f t="shared" si="35"/>
        <v>253.47467712357886</v>
      </c>
      <c r="W126">
        <f t="shared" si="35"/>
        <v>249.3522997765802</v>
      </c>
      <c r="X126">
        <f t="shared" si="35"/>
        <v>251.82572618477946</v>
      </c>
      <c r="Y126">
        <f t="shared" si="35"/>
        <v>233.8676198669165</v>
      </c>
      <c r="Z126">
        <f t="shared" si="35"/>
        <v>253.88691485827874</v>
      </c>
    </row>
    <row r="127" spans="2:26" x14ac:dyDescent="0.25">
      <c r="B127">
        <v>9.08</v>
      </c>
      <c r="C127">
        <f t="shared" ref="C127:Z127" si="36">(((($AC50-EXP(52.57-6690.9/(273.15+$AE50)-4.681*LN(273.15+$AE50)))/1013)*C50/100*0.2095*(48.998-1.335*$AE50+0.02755*POWER($AE50,2)-0.000322*POWER($AE50,3)+0.000001598*POWER($AE50,4))*32/22.414))*31.25</f>
        <v>252.14166769777162</v>
      </c>
      <c r="D127">
        <f t="shared" si="36"/>
        <v>252.14166769777162</v>
      </c>
      <c r="E127">
        <f t="shared" si="36"/>
        <v>237.84763035637599</v>
      </c>
      <c r="F127">
        <f t="shared" si="36"/>
        <v>214.20451994304048</v>
      </c>
      <c r="G127">
        <f t="shared" si="36"/>
        <v>234.98882288809679</v>
      </c>
      <c r="H127">
        <f t="shared" si="36"/>
        <v>255.43831054407545</v>
      </c>
      <c r="I127">
        <f t="shared" si="36"/>
        <v>250.90542663040759</v>
      </c>
      <c r="J127">
        <f t="shared" si="36"/>
        <v>254.61414983249952</v>
      </c>
      <c r="K127">
        <f t="shared" si="36"/>
        <v>249.6691855630437</v>
      </c>
      <c r="L127">
        <f t="shared" si="36"/>
        <v>252.14166769777162</v>
      </c>
      <c r="M127">
        <f t="shared" si="36"/>
        <v>229.76055337403679</v>
      </c>
      <c r="N127">
        <f t="shared" si="36"/>
        <v>254.61414983249952</v>
      </c>
      <c r="O127">
        <f t="shared" si="36"/>
        <v>252.96582840934749</v>
      </c>
      <c r="P127">
        <f t="shared" si="36"/>
        <v>256.70030663367618</v>
      </c>
      <c r="Q127">
        <f t="shared" si="36"/>
        <v>248.84502485146774</v>
      </c>
      <c r="R127">
        <f t="shared" si="36"/>
        <v>253.78998912092348</v>
      </c>
      <c r="S127">
        <f t="shared" si="36"/>
        <v>252.14166769777162</v>
      </c>
      <c r="T127">
        <f t="shared" si="36"/>
        <v>253.37790876513554</v>
      </c>
      <c r="U127">
        <f t="shared" si="36"/>
        <v>222.93547248129835</v>
      </c>
      <c r="V127">
        <f t="shared" si="36"/>
        <v>254.20206947671153</v>
      </c>
      <c r="W127">
        <f t="shared" si="36"/>
        <v>248.84502485146774</v>
      </c>
      <c r="X127">
        <f t="shared" si="36"/>
        <v>252.55374805355956</v>
      </c>
      <c r="Y127">
        <f t="shared" si="36"/>
        <v>234.60249755454561</v>
      </c>
      <c r="Z127">
        <f t="shared" si="36"/>
        <v>253.78998912092348</v>
      </c>
    </row>
    <row r="128" spans="2:26" x14ac:dyDescent="0.25">
      <c r="B128">
        <v>9.33</v>
      </c>
      <c r="C128">
        <f t="shared" ref="C128:Z128" si="37">(((($AC51-EXP(52.57-6690.9/(273.15+$AE51)-4.681*LN(273.15+$AE51)))/1013)*C51/100*0.2095*(48.998-1.335*$AE51+0.02755*POWER($AE51,2)-0.000322*POWER($AE51,3)+0.000001598*POWER($AE51,4))*32/22.414))*31.25</f>
        <v>252.65020165417917</v>
      </c>
      <c r="D128">
        <f t="shared" si="37"/>
        <v>251.82572618477946</v>
      </c>
      <c r="E128">
        <f t="shared" si="37"/>
        <v>237.52622976237788</v>
      </c>
      <c r="F128">
        <f t="shared" si="37"/>
        <v>213.1011439814109</v>
      </c>
      <c r="G128">
        <f t="shared" si="37"/>
        <v>235.49080594729736</v>
      </c>
      <c r="H128">
        <f t="shared" si="37"/>
        <v>253.47467712357886</v>
      </c>
      <c r="I128">
        <f t="shared" si="37"/>
        <v>251.82572618477946</v>
      </c>
      <c r="J128">
        <f t="shared" si="37"/>
        <v>254.71139032767843</v>
      </c>
      <c r="K128">
        <f t="shared" si="37"/>
        <v>248.94006204188037</v>
      </c>
      <c r="L128">
        <f t="shared" si="37"/>
        <v>251.82572618477946</v>
      </c>
      <c r="M128">
        <f t="shared" si="37"/>
        <v>229.04959134261196</v>
      </c>
      <c r="N128">
        <f t="shared" si="37"/>
        <v>253.88691485827874</v>
      </c>
      <c r="O128">
        <f t="shared" si="37"/>
        <v>252.65020165417917</v>
      </c>
      <c r="P128">
        <f t="shared" si="37"/>
        <v>255.5358657970782</v>
      </c>
      <c r="Q128">
        <f t="shared" si="37"/>
        <v>249.3522997765802</v>
      </c>
      <c r="R128">
        <f t="shared" si="37"/>
        <v>253.062439388879</v>
      </c>
      <c r="S128">
        <f t="shared" si="37"/>
        <v>252.23796391947928</v>
      </c>
      <c r="T128">
        <f t="shared" si="37"/>
        <v>253.88691485827874</v>
      </c>
      <c r="U128">
        <f t="shared" si="37"/>
        <v>223.02061447262642</v>
      </c>
      <c r="V128">
        <f t="shared" si="37"/>
        <v>254.29915259297857</v>
      </c>
      <c r="W128">
        <f t="shared" si="37"/>
        <v>249.76453751128011</v>
      </c>
      <c r="X128">
        <f t="shared" si="37"/>
        <v>251.82572618477946</v>
      </c>
      <c r="Y128">
        <f t="shared" si="37"/>
        <v>233.8676198669165</v>
      </c>
      <c r="Z128">
        <f t="shared" si="37"/>
        <v>253.062439388879</v>
      </c>
    </row>
    <row r="129" spans="2:26" x14ac:dyDescent="0.25">
      <c r="B129">
        <v>9.58</v>
      </c>
      <c r="C129">
        <f t="shared" ref="C129:Z129" si="38">(((($AC52-EXP(52.57-6690.9/(273.15+$AE52)-4.681*LN(273.15+$AE52)))/1013)*C52/100*0.2095*(48.998-1.335*$AE52+0.02755*POWER($AE52,2)-0.000322*POWER($AE52,3)+0.000001598*POWER($AE52,4))*32/22.414))*31.25</f>
        <v>252.55374805355956</v>
      </c>
      <c r="D129">
        <f t="shared" si="38"/>
        <v>252.14166769777162</v>
      </c>
      <c r="E129">
        <f t="shared" si="38"/>
        <v>237.43555000058799</v>
      </c>
      <c r="F129">
        <f t="shared" si="38"/>
        <v>212.63346358659882</v>
      </c>
      <c r="G129">
        <f t="shared" si="38"/>
        <v>235.40090324388481</v>
      </c>
      <c r="H129">
        <f t="shared" si="38"/>
        <v>254.61414983249952</v>
      </c>
      <c r="I129">
        <f t="shared" si="38"/>
        <v>251.31750698619564</v>
      </c>
      <c r="J129">
        <f t="shared" si="38"/>
        <v>254.20206947671153</v>
      </c>
      <c r="K129">
        <f t="shared" si="38"/>
        <v>249.25710520725571</v>
      </c>
      <c r="L129">
        <f t="shared" si="38"/>
        <v>251.72958734198357</v>
      </c>
      <c r="M129">
        <f t="shared" si="38"/>
        <v>228.96214768469758</v>
      </c>
      <c r="N129">
        <f t="shared" si="38"/>
        <v>252.96582840934749</v>
      </c>
      <c r="O129">
        <f t="shared" si="38"/>
        <v>253.37790876513554</v>
      </c>
      <c r="P129">
        <f t="shared" si="38"/>
        <v>257.11238698946408</v>
      </c>
      <c r="Q129">
        <f t="shared" si="38"/>
        <v>249.25710520725571</v>
      </c>
      <c r="R129">
        <f t="shared" si="38"/>
        <v>253.78998912092348</v>
      </c>
      <c r="S129">
        <f t="shared" si="38"/>
        <v>251.72958734198357</v>
      </c>
      <c r="T129">
        <f t="shared" si="38"/>
        <v>253.78998912092348</v>
      </c>
      <c r="U129">
        <f t="shared" si="38"/>
        <v>222.54914714774711</v>
      </c>
      <c r="V129">
        <f t="shared" si="38"/>
        <v>253.78998912092348</v>
      </c>
      <c r="W129">
        <f t="shared" si="38"/>
        <v>248.84502485146774</v>
      </c>
      <c r="X129">
        <f t="shared" si="38"/>
        <v>252.14166769777162</v>
      </c>
      <c r="Y129">
        <f t="shared" si="38"/>
        <v>234.19041719875761</v>
      </c>
      <c r="Z129">
        <f t="shared" si="38"/>
        <v>253.37790876513554</v>
      </c>
    </row>
    <row r="130" spans="2:26" x14ac:dyDescent="0.25">
      <c r="B130">
        <v>9.83</v>
      </c>
      <c r="C130">
        <f t="shared" ref="C130:Z130" si="39">(((($AC53-EXP(52.57-6690.9/(273.15+$AE53)-4.681*LN(273.15+$AE53)))/1013)*C53/100*0.2095*(48.998-1.335*$AE53+0.02755*POWER($AE53,2)-0.000322*POWER($AE53,3)+0.000001598*POWER($AE53,4))*32/22.414))*31.25</f>
        <v>252.65020165417917</v>
      </c>
      <c r="D130">
        <f t="shared" si="39"/>
        <v>251.82572618477946</v>
      </c>
      <c r="E130">
        <f t="shared" si="39"/>
        <v>236.70175429297817</v>
      </c>
      <c r="F130">
        <f t="shared" si="39"/>
        <v>212.71467110512984</v>
      </c>
      <c r="G130">
        <f t="shared" si="39"/>
        <v>236.70175429297817</v>
      </c>
      <c r="H130">
        <f t="shared" si="39"/>
        <v>255.12362806237837</v>
      </c>
      <c r="I130">
        <f t="shared" si="39"/>
        <v>252.23796391947928</v>
      </c>
      <c r="J130">
        <f t="shared" si="39"/>
        <v>255.94810353177806</v>
      </c>
      <c r="K130">
        <f t="shared" si="39"/>
        <v>250.58901298067983</v>
      </c>
      <c r="L130">
        <f t="shared" si="39"/>
        <v>252.65020165417917</v>
      </c>
      <c r="M130">
        <f t="shared" si="39"/>
        <v>229.04959134261196</v>
      </c>
      <c r="N130">
        <f t="shared" si="39"/>
        <v>254.29915259297857</v>
      </c>
      <c r="O130">
        <f t="shared" si="39"/>
        <v>252.23796391947928</v>
      </c>
      <c r="P130">
        <f t="shared" si="39"/>
        <v>257.2105815942964</v>
      </c>
      <c r="Q130">
        <f t="shared" si="39"/>
        <v>249.3522997765802</v>
      </c>
      <c r="R130">
        <f t="shared" si="39"/>
        <v>253.88691485827874</v>
      </c>
      <c r="S130">
        <f t="shared" si="39"/>
        <v>251.41348845007948</v>
      </c>
      <c r="T130">
        <f t="shared" si="39"/>
        <v>253.47467712357886</v>
      </c>
      <c r="U130">
        <f t="shared" si="39"/>
        <v>223.43285220732625</v>
      </c>
      <c r="V130">
        <f t="shared" si="39"/>
        <v>254.29915259297857</v>
      </c>
      <c r="W130">
        <f t="shared" si="39"/>
        <v>250.17677524597991</v>
      </c>
      <c r="X130">
        <f t="shared" si="39"/>
        <v>251.82572618477946</v>
      </c>
      <c r="Y130">
        <f t="shared" si="39"/>
        <v>233.48114699063549</v>
      </c>
      <c r="Z130">
        <f t="shared" si="39"/>
        <v>252.65020165417917</v>
      </c>
    </row>
    <row r="131" spans="2:26" x14ac:dyDescent="0.25">
      <c r="B131">
        <v>10.08</v>
      </c>
      <c r="C131">
        <f t="shared" ref="C131:Z131" si="40">(((($AC54-EXP(52.57-6690.9/(273.15+$AE54)-4.681*LN(273.15+$AE54)))/1013)*C54/100*0.2095*(48.998-1.335*$AE54+0.02755*POWER($AE54,2)-0.000322*POWER($AE54,3)+0.000001598*POWER($AE54,4))*32/22.414))*31.25</f>
        <v>252.23796391947928</v>
      </c>
      <c r="D131">
        <f t="shared" si="40"/>
        <v>251.41348845007948</v>
      </c>
      <c r="E131">
        <f t="shared" si="40"/>
        <v>237.11399202767799</v>
      </c>
      <c r="F131">
        <f t="shared" si="40"/>
        <v>212.30243337042995</v>
      </c>
      <c r="G131">
        <f t="shared" si="40"/>
        <v>235.49080594729736</v>
      </c>
      <c r="H131">
        <f t="shared" si="40"/>
        <v>254.71139032767843</v>
      </c>
      <c r="I131">
        <f t="shared" si="40"/>
        <v>251.41348845007948</v>
      </c>
      <c r="J131">
        <f t="shared" si="40"/>
        <v>255.5358657970782</v>
      </c>
      <c r="K131">
        <f t="shared" si="40"/>
        <v>248.94006204188037</v>
      </c>
      <c r="L131">
        <f t="shared" si="40"/>
        <v>252.23796391947928</v>
      </c>
      <c r="M131">
        <f t="shared" si="40"/>
        <v>229.43606421889308</v>
      </c>
      <c r="N131">
        <f t="shared" si="40"/>
        <v>254.71139032767843</v>
      </c>
      <c r="O131">
        <f t="shared" si="40"/>
        <v>252.65020165417917</v>
      </c>
      <c r="P131">
        <f t="shared" si="40"/>
        <v>256.38610612489668</v>
      </c>
      <c r="Q131">
        <f t="shared" si="40"/>
        <v>248.94006204188037</v>
      </c>
      <c r="R131">
        <f t="shared" si="40"/>
        <v>253.88691485827874</v>
      </c>
      <c r="S131">
        <f t="shared" si="40"/>
        <v>251.82572618477946</v>
      </c>
      <c r="T131">
        <f t="shared" si="40"/>
        <v>254.29915259297857</v>
      </c>
      <c r="U131">
        <f t="shared" si="40"/>
        <v>222.63414159634524</v>
      </c>
      <c r="V131">
        <f t="shared" si="40"/>
        <v>254.29915259297857</v>
      </c>
      <c r="W131">
        <f t="shared" si="40"/>
        <v>250.17677524597991</v>
      </c>
      <c r="X131">
        <f t="shared" si="40"/>
        <v>252.23796391947928</v>
      </c>
      <c r="Y131">
        <f t="shared" si="40"/>
        <v>233.8676198669165</v>
      </c>
      <c r="Z131">
        <f t="shared" si="40"/>
        <v>253.47467712357886</v>
      </c>
    </row>
    <row r="132" spans="2:26" x14ac:dyDescent="0.25">
      <c r="B132">
        <v>10.33</v>
      </c>
      <c r="C132">
        <f t="shared" ref="C132:Z132" si="41">(((($AC55-EXP(52.57-6690.9/(273.15+$AE55)-4.681*LN(273.15+$AE55)))/1013)*C55/100*0.2095*(48.998-1.335*$AE55+0.02755*POWER($AE55,2)-0.000322*POWER($AE55,3)+0.000001598*POWER($AE55,4))*32/22.414))*31.25</f>
        <v>252.55374805355956</v>
      </c>
      <c r="D132">
        <f t="shared" si="41"/>
        <v>251.31750698619564</v>
      </c>
      <c r="E132">
        <f t="shared" si="41"/>
        <v>236.61138928901201</v>
      </c>
      <c r="F132">
        <f t="shared" si="41"/>
        <v>212.63346358659882</v>
      </c>
      <c r="G132">
        <f t="shared" si="41"/>
        <v>236.22506395546074</v>
      </c>
      <c r="H132">
        <f t="shared" si="41"/>
        <v>255.43831054407545</v>
      </c>
      <c r="I132">
        <f t="shared" si="41"/>
        <v>251.31750698619564</v>
      </c>
      <c r="J132">
        <f t="shared" si="41"/>
        <v>255.85039089986344</v>
      </c>
      <c r="K132">
        <f t="shared" si="41"/>
        <v>249.25710520725571</v>
      </c>
      <c r="L132">
        <f t="shared" si="41"/>
        <v>251.31750698619564</v>
      </c>
      <c r="M132">
        <f t="shared" si="41"/>
        <v>228.96214768469758</v>
      </c>
      <c r="N132">
        <f t="shared" si="41"/>
        <v>254.61414983249952</v>
      </c>
      <c r="O132">
        <f t="shared" si="41"/>
        <v>252.96582840934749</v>
      </c>
      <c r="P132">
        <f t="shared" si="41"/>
        <v>257.11238698946408</v>
      </c>
      <c r="Q132">
        <f t="shared" si="41"/>
        <v>248.45869951791647</v>
      </c>
      <c r="R132">
        <f t="shared" si="41"/>
        <v>253.37790876513554</v>
      </c>
      <c r="S132">
        <f t="shared" si="41"/>
        <v>252.14166769777162</v>
      </c>
      <c r="T132">
        <f t="shared" si="41"/>
        <v>253.78998912092348</v>
      </c>
      <c r="U132">
        <f t="shared" si="41"/>
        <v>223.34755283708631</v>
      </c>
      <c r="V132">
        <f t="shared" si="41"/>
        <v>252.96582840934749</v>
      </c>
      <c r="W132">
        <f t="shared" si="41"/>
        <v>250.0812659188316</v>
      </c>
      <c r="X132">
        <f t="shared" si="41"/>
        <v>251.72958734198357</v>
      </c>
      <c r="Y132">
        <f t="shared" si="41"/>
        <v>233.39201150941841</v>
      </c>
      <c r="Z132">
        <f t="shared" si="41"/>
        <v>253.78998912092348</v>
      </c>
    </row>
    <row r="133" spans="2:26" x14ac:dyDescent="0.25">
      <c r="B133">
        <v>10.58</v>
      </c>
      <c r="C133">
        <f t="shared" ref="C133:Z133" si="42">(((($AC56-EXP(52.57-6690.9/(273.15+$AE56)-4.681*LN(273.15+$AE56)))/1013)*C56/100*0.2095*(48.998-1.335*$AE56+0.02755*POWER($AE56,2)-0.000322*POWER($AE56,3)+0.000001598*POWER($AE56,4))*32/22.414))*31.25</f>
        <v>252.65020165417917</v>
      </c>
      <c r="D133">
        <f t="shared" si="42"/>
        <v>251.00125071537971</v>
      </c>
      <c r="E133">
        <f t="shared" si="42"/>
        <v>236.31528141669699</v>
      </c>
      <c r="F133">
        <f t="shared" si="42"/>
        <v>212.30243337042995</v>
      </c>
      <c r="G133">
        <f t="shared" si="42"/>
        <v>235.90304368199716</v>
      </c>
      <c r="H133">
        <f t="shared" si="42"/>
        <v>254.71139032767843</v>
      </c>
      <c r="I133">
        <f t="shared" si="42"/>
        <v>251.82572618477946</v>
      </c>
      <c r="J133">
        <f t="shared" si="42"/>
        <v>255.12362806237837</v>
      </c>
      <c r="K133">
        <f t="shared" si="42"/>
        <v>250.17677524597991</v>
      </c>
      <c r="L133">
        <f t="shared" si="42"/>
        <v>252.65020165417917</v>
      </c>
      <c r="M133">
        <f t="shared" si="42"/>
        <v>227.8386429969311</v>
      </c>
      <c r="N133">
        <f t="shared" si="42"/>
        <v>253.47467712357886</v>
      </c>
      <c r="O133">
        <f t="shared" si="42"/>
        <v>252.65020165417917</v>
      </c>
      <c r="P133">
        <f t="shared" si="42"/>
        <v>257.62281932899623</v>
      </c>
      <c r="Q133">
        <f t="shared" si="42"/>
        <v>248.94006204188037</v>
      </c>
      <c r="R133">
        <f t="shared" si="42"/>
        <v>253.88691485827874</v>
      </c>
      <c r="S133">
        <f t="shared" si="42"/>
        <v>251.82572618477946</v>
      </c>
      <c r="T133">
        <f t="shared" si="42"/>
        <v>253.88691485827874</v>
      </c>
      <c r="U133">
        <f t="shared" si="42"/>
        <v>222.22190386164544</v>
      </c>
      <c r="V133">
        <f t="shared" si="42"/>
        <v>254.29915259297857</v>
      </c>
      <c r="W133">
        <f t="shared" si="42"/>
        <v>249.3522997765802</v>
      </c>
      <c r="X133">
        <f t="shared" si="42"/>
        <v>251.00125071537971</v>
      </c>
      <c r="Y133">
        <f t="shared" si="42"/>
        <v>233.48114699063549</v>
      </c>
      <c r="Z133">
        <f t="shared" si="42"/>
        <v>253.062439388879</v>
      </c>
    </row>
    <row r="134" spans="2:26" x14ac:dyDescent="0.25">
      <c r="B134">
        <v>10.83</v>
      </c>
      <c r="C134">
        <f t="shared" ref="C134:Z134" si="43">(((($AC57-EXP(52.57-6690.9/(273.15+$AE57)-4.681*LN(273.15+$AE57)))/1013)*C57/100*0.2095*(48.998-1.335*$AE57+0.02755*POWER($AE57,2)-0.000322*POWER($AE57,3)+0.000001598*POWER($AE57,4))*32/22.414))*31.25</f>
        <v>252.65020165417917</v>
      </c>
      <c r="D134">
        <f t="shared" si="43"/>
        <v>251.41348845007948</v>
      </c>
      <c r="E134">
        <f t="shared" si="43"/>
        <v>236.31528141669699</v>
      </c>
      <c r="F134">
        <f t="shared" si="43"/>
        <v>211.91596049414883</v>
      </c>
      <c r="G134">
        <f t="shared" si="43"/>
        <v>235.07856821259745</v>
      </c>
      <c r="H134">
        <f t="shared" si="43"/>
        <v>254.71139032767843</v>
      </c>
      <c r="I134">
        <f t="shared" si="43"/>
        <v>250.58901298067983</v>
      </c>
      <c r="J134">
        <f t="shared" si="43"/>
        <v>255.12362806237837</v>
      </c>
      <c r="K134">
        <f t="shared" si="43"/>
        <v>250.17677524597991</v>
      </c>
      <c r="L134">
        <f t="shared" si="43"/>
        <v>251.82572618477946</v>
      </c>
      <c r="M134">
        <f t="shared" si="43"/>
        <v>228.63735360791208</v>
      </c>
      <c r="N134">
        <f t="shared" si="43"/>
        <v>253.062439388879</v>
      </c>
      <c r="O134">
        <f t="shared" si="43"/>
        <v>252.23796391947928</v>
      </c>
      <c r="P134">
        <f t="shared" si="43"/>
        <v>256.79834385959657</v>
      </c>
      <c r="Q134">
        <f t="shared" si="43"/>
        <v>248.94006204188037</v>
      </c>
      <c r="R134">
        <f t="shared" si="43"/>
        <v>253.88691485827874</v>
      </c>
      <c r="S134">
        <f t="shared" si="43"/>
        <v>251.00125071537971</v>
      </c>
      <c r="T134">
        <f t="shared" si="43"/>
        <v>253.47467712357886</v>
      </c>
      <c r="U134">
        <f t="shared" si="43"/>
        <v>223.02061447262642</v>
      </c>
      <c r="V134">
        <f t="shared" si="43"/>
        <v>253.47467712357886</v>
      </c>
      <c r="W134">
        <f t="shared" si="43"/>
        <v>249.76453751128011</v>
      </c>
      <c r="X134">
        <f t="shared" si="43"/>
        <v>251.41348845007948</v>
      </c>
      <c r="Y134">
        <f t="shared" si="43"/>
        <v>233.8676198669165</v>
      </c>
      <c r="Z134">
        <f t="shared" si="43"/>
        <v>253.062439388879</v>
      </c>
    </row>
    <row r="135" spans="2:26" x14ac:dyDescent="0.25">
      <c r="B135">
        <v>11.1</v>
      </c>
      <c r="C135">
        <f t="shared" ref="C135:Z135" si="44">(((($AC58-EXP(52.57-6690.9/(273.15+$AE58)-4.681*LN(273.15+$AE58)))/1013)*C58/100*0.2095*(48.998-1.335*$AE58+0.02755*POWER($AE58,2)-0.000322*POWER($AE58,3)+0.000001598*POWER($AE58,4))*32/22.414))*31.25</f>
        <v>252.96582840934749</v>
      </c>
      <c r="D135">
        <f t="shared" si="44"/>
        <v>252.55374805355956</v>
      </c>
      <c r="E135">
        <f t="shared" si="44"/>
        <v>235.8129835996728</v>
      </c>
      <c r="F135">
        <f t="shared" si="44"/>
        <v>212.22138323081086</v>
      </c>
      <c r="G135">
        <f t="shared" si="44"/>
        <v>235.8129835996728</v>
      </c>
      <c r="H135">
        <f t="shared" si="44"/>
        <v>255.02623018828746</v>
      </c>
      <c r="I135">
        <f t="shared" si="44"/>
        <v>250.90542663040759</v>
      </c>
      <c r="J135">
        <f t="shared" si="44"/>
        <v>255.43831054407545</v>
      </c>
      <c r="K135">
        <f t="shared" si="44"/>
        <v>249.6691855630437</v>
      </c>
      <c r="L135">
        <f t="shared" si="44"/>
        <v>252.55374805355956</v>
      </c>
      <c r="M135">
        <f t="shared" si="44"/>
        <v>226.95325595023115</v>
      </c>
      <c r="N135">
        <f t="shared" si="44"/>
        <v>253.78998912092348</v>
      </c>
      <c r="O135">
        <f t="shared" si="44"/>
        <v>252.14166769777162</v>
      </c>
      <c r="P135">
        <f t="shared" si="44"/>
        <v>257.11238698946408</v>
      </c>
      <c r="Q135">
        <f t="shared" si="44"/>
        <v>249.25710520725571</v>
      </c>
      <c r="R135">
        <f t="shared" si="44"/>
        <v>253.37790876513554</v>
      </c>
      <c r="S135">
        <f t="shared" si="44"/>
        <v>251.72958734198357</v>
      </c>
      <c r="T135">
        <f t="shared" si="44"/>
        <v>253.78998912092348</v>
      </c>
      <c r="U135">
        <f t="shared" si="44"/>
        <v>222.93547248129835</v>
      </c>
      <c r="V135">
        <f t="shared" si="44"/>
        <v>254.20206947671153</v>
      </c>
      <c r="W135">
        <f t="shared" si="44"/>
        <v>250.49334627461971</v>
      </c>
      <c r="X135">
        <f t="shared" si="44"/>
        <v>251.72958734198357</v>
      </c>
      <c r="Y135">
        <f t="shared" si="44"/>
        <v>232.97993115363039</v>
      </c>
      <c r="Z135">
        <f t="shared" si="44"/>
        <v>253.37790876513554</v>
      </c>
    </row>
    <row r="136" spans="2:26" x14ac:dyDescent="0.25">
      <c r="B136">
        <v>11.35</v>
      </c>
      <c r="C136">
        <f t="shared" ref="C136:Z136" si="45">(((($AC59-EXP(52.57-6690.9/(273.15+$AE59)-4.681*LN(273.15+$AE59)))/1013)*C59/100*0.2095*(48.998-1.335*$AE59+0.02755*POWER($AE59,2)-0.000322*POWER($AE59,3)+0.000001598*POWER($AE59,4))*32/22.414))*31.25</f>
        <v>252.23796391947928</v>
      </c>
      <c r="D136">
        <f t="shared" si="45"/>
        <v>251.41348845007948</v>
      </c>
      <c r="E136">
        <f t="shared" si="45"/>
        <v>236.70175429297817</v>
      </c>
      <c r="F136">
        <f t="shared" si="45"/>
        <v>211.11724988316789</v>
      </c>
      <c r="G136">
        <f t="shared" si="45"/>
        <v>235.49080594729736</v>
      </c>
      <c r="H136">
        <f t="shared" si="45"/>
        <v>254.29915259297857</v>
      </c>
      <c r="I136">
        <f t="shared" si="45"/>
        <v>251.82572618477946</v>
      </c>
      <c r="J136">
        <f t="shared" si="45"/>
        <v>255.5358657970782</v>
      </c>
      <c r="K136">
        <f t="shared" si="45"/>
        <v>249.3522997765802</v>
      </c>
      <c r="L136">
        <f t="shared" si="45"/>
        <v>251.82572618477946</v>
      </c>
      <c r="M136">
        <f t="shared" si="45"/>
        <v>227.42640526223119</v>
      </c>
      <c r="N136">
        <f t="shared" si="45"/>
        <v>254.29915259297857</v>
      </c>
      <c r="O136">
        <f t="shared" si="45"/>
        <v>252.23796391947928</v>
      </c>
      <c r="P136">
        <f t="shared" si="45"/>
        <v>256.79834385959657</v>
      </c>
      <c r="Q136">
        <f t="shared" si="45"/>
        <v>248.94006204188037</v>
      </c>
      <c r="R136">
        <f t="shared" si="45"/>
        <v>253.062439388879</v>
      </c>
      <c r="S136">
        <f t="shared" si="45"/>
        <v>251.82572618477946</v>
      </c>
      <c r="T136">
        <f t="shared" si="45"/>
        <v>253.47467712357886</v>
      </c>
      <c r="U136">
        <f t="shared" si="45"/>
        <v>223.02061447262642</v>
      </c>
      <c r="V136">
        <f t="shared" si="45"/>
        <v>253.47467712357886</v>
      </c>
      <c r="W136">
        <f t="shared" si="45"/>
        <v>249.76453751128011</v>
      </c>
      <c r="X136">
        <f t="shared" si="45"/>
        <v>251.82572618477946</v>
      </c>
      <c r="Y136">
        <f t="shared" si="45"/>
        <v>233.8676198669165</v>
      </c>
      <c r="Z136">
        <f t="shared" si="45"/>
        <v>254.29915259297857</v>
      </c>
    </row>
    <row r="137" spans="2:26" x14ac:dyDescent="0.25">
      <c r="B137">
        <v>11.6</v>
      </c>
      <c r="C137">
        <f t="shared" ref="C137:Z137" si="46">(((($AC60-EXP(52.57-6690.9/(273.15+$AE60)-4.681*LN(273.15+$AE60)))/1013)*C60/100*0.2095*(48.998-1.335*$AE60+0.02755*POWER($AE60,2)-0.000322*POWER($AE60,3)+0.000001598*POWER($AE60,4))*32/22.414))*31.25</f>
        <v>252.55374805355956</v>
      </c>
      <c r="D137">
        <f t="shared" si="46"/>
        <v>252.14166769777162</v>
      </c>
      <c r="E137">
        <f t="shared" si="46"/>
        <v>236.22506395546074</v>
      </c>
      <c r="F137">
        <f t="shared" si="46"/>
        <v>211.44873256370832</v>
      </c>
      <c r="G137">
        <f t="shared" si="46"/>
        <v>236.22506395546074</v>
      </c>
      <c r="H137">
        <f t="shared" si="46"/>
        <v>255.02623018828746</v>
      </c>
      <c r="I137">
        <f t="shared" si="46"/>
        <v>251.72958734198357</v>
      </c>
      <c r="J137">
        <f t="shared" si="46"/>
        <v>255.02623018828746</v>
      </c>
      <c r="K137">
        <f t="shared" si="46"/>
        <v>250.0812659188316</v>
      </c>
      <c r="L137">
        <f t="shared" si="46"/>
        <v>251.72958734198357</v>
      </c>
      <c r="M137">
        <f t="shared" si="46"/>
        <v>227.75166163957044</v>
      </c>
      <c r="N137">
        <f t="shared" si="46"/>
        <v>253.78998912092348</v>
      </c>
      <c r="O137">
        <f t="shared" si="46"/>
        <v>252.14166769777162</v>
      </c>
      <c r="P137">
        <f t="shared" si="46"/>
        <v>257.52446734525211</v>
      </c>
      <c r="Q137">
        <f t="shared" si="46"/>
        <v>248.84502485146774</v>
      </c>
      <c r="R137">
        <f t="shared" si="46"/>
        <v>253.78998912092348</v>
      </c>
      <c r="S137">
        <f t="shared" si="46"/>
        <v>252.14166769777162</v>
      </c>
      <c r="T137">
        <f t="shared" si="46"/>
        <v>254.20206947671153</v>
      </c>
      <c r="U137">
        <f t="shared" si="46"/>
        <v>223.34755283708631</v>
      </c>
      <c r="V137">
        <f t="shared" si="46"/>
        <v>253.37790876513554</v>
      </c>
      <c r="W137">
        <f t="shared" si="46"/>
        <v>249.25710520725571</v>
      </c>
      <c r="X137">
        <f t="shared" si="46"/>
        <v>250.49334627461971</v>
      </c>
      <c r="Y137">
        <f t="shared" si="46"/>
        <v>233.39201150941841</v>
      </c>
      <c r="Z137">
        <f t="shared" si="46"/>
        <v>253.37790876513554</v>
      </c>
    </row>
    <row r="138" spans="2:26" x14ac:dyDescent="0.25">
      <c r="B138">
        <v>11.85</v>
      </c>
      <c r="C138">
        <f t="shared" ref="C138:Z138" si="47">(((($AC61-EXP(52.57-6690.9/(273.15+$AE61)-4.681*LN(273.15+$AE61)))/1013)*C61/100*0.2095*(48.998-1.335*$AE61+0.02755*POWER($AE61,2)-0.000322*POWER($AE61,3)+0.000001598*POWER($AE61,4))*32/22.414))*31.25</f>
        <v>252.55374805355956</v>
      </c>
      <c r="D138">
        <f t="shared" si="47"/>
        <v>252.14166769777162</v>
      </c>
      <c r="E138">
        <f t="shared" si="47"/>
        <v>235.40090324388481</v>
      </c>
      <c r="F138">
        <f t="shared" si="47"/>
        <v>210.26400154081784</v>
      </c>
      <c r="G138">
        <f t="shared" si="47"/>
        <v>235.8129835996728</v>
      </c>
      <c r="H138">
        <f t="shared" si="47"/>
        <v>254.20206947671153</v>
      </c>
      <c r="I138">
        <f t="shared" si="47"/>
        <v>251.72958734198357</v>
      </c>
      <c r="J138">
        <f t="shared" si="47"/>
        <v>255.02623018828746</v>
      </c>
      <c r="K138">
        <f t="shared" si="47"/>
        <v>249.25710520725571</v>
      </c>
      <c r="L138">
        <f t="shared" si="47"/>
        <v>251.72958734198357</v>
      </c>
      <c r="M138">
        <f t="shared" si="47"/>
        <v>226.95325595023115</v>
      </c>
      <c r="N138">
        <f t="shared" si="47"/>
        <v>254.61414983249952</v>
      </c>
      <c r="O138">
        <f t="shared" si="47"/>
        <v>252.55374805355956</v>
      </c>
      <c r="P138">
        <f t="shared" si="47"/>
        <v>256.70030663367618</v>
      </c>
      <c r="Q138">
        <f t="shared" si="47"/>
        <v>248.84502485146774</v>
      </c>
      <c r="R138">
        <f t="shared" si="47"/>
        <v>253.37790876513554</v>
      </c>
      <c r="S138">
        <f t="shared" si="47"/>
        <v>250.90542663040759</v>
      </c>
      <c r="T138">
        <f t="shared" si="47"/>
        <v>253.78998912092348</v>
      </c>
      <c r="U138">
        <f t="shared" si="47"/>
        <v>223.34755283708631</v>
      </c>
      <c r="V138">
        <f t="shared" si="47"/>
        <v>254.20206947671153</v>
      </c>
      <c r="W138">
        <f t="shared" si="47"/>
        <v>250.0812659188316</v>
      </c>
      <c r="X138">
        <f t="shared" si="47"/>
        <v>251.72958734198357</v>
      </c>
      <c r="Y138">
        <f t="shared" si="47"/>
        <v>233.39201150941841</v>
      </c>
      <c r="Z138">
        <f t="shared" si="47"/>
        <v>253.37790876513554</v>
      </c>
    </row>
    <row r="139" spans="2:26" x14ac:dyDescent="0.25">
      <c r="B139">
        <v>12.1</v>
      </c>
      <c r="C139">
        <f t="shared" ref="C139:Z139" si="48">(((($AC62-EXP(52.57-6690.9/(273.15+$AE62)-4.681*LN(273.15+$AE62)))/1013)*C62/100*0.2095*(48.998-1.335*$AE62+0.02755*POWER($AE62,2)-0.000322*POWER($AE62,3)+0.000001598*POWER($AE62,4))*32/22.414))*31.25</f>
        <v>252.55374805355956</v>
      </c>
      <c r="D139">
        <f t="shared" si="48"/>
        <v>251.31750698619564</v>
      </c>
      <c r="E139">
        <f t="shared" si="48"/>
        <v>235.40090324388481</v>
      </c>
      <c r="F139">
        <f t="shared" si="48"/>
        <v>210.26400154081784</v>
      </c>
      <c r="G139">
        <f t="shared" si="48"/>
        <v>234.98882288809679</v>
      </c>
      <c r="H139">
        <f t="shared" si="48"/>
        <v>254.20206947671153</v>
      </c>
      <c r="I139">
        <f t="shared" si="48"/>
        <v>251.72958734198357</v>
      </c>
      <c r="J139">
        <f t="shared" si="48"/>
        <v>255.43831054407545</v>
      </c>
      <c r="K139">
        <f t="shared" si="48"/>
        <v>249.6691855630437</v>
      </c>
      <c r="L139">
        <f t="shared" si="48"/>
        <v>251.72958734198357</v>
      </c>
      <c r="M139">
        <f t="shared" si="48"/>
        <v>226.15485026089198</v>
      </c>
      <c r="N139">
        <f t="shared" si="48"/>
        <v>253.78998912092348</v>
      </c>
      <c r="O139">
        <f t="shared" si="48"/>
        <v>251.72958734198357</v>
      </c>
      <c r="P139">
        <f t="shared" si="48"/>
        <v>255.85039089986344</v>
      </c>
      <c r="Q139">
        <f t="shared" si="48"/>
        <v>249.6691855630437</v>
      </c>
      <c r="R139">
        <f t="shared" si="48"/>
        <v>252.96582840934749</v>
      </c>
      <c r="S139">
        <f t="shared" si="48"/>
        <v>252.14166769777162</v>
      </c>
      <c r="T139">
        <f t="shared" si="48"/>
        <v>254.20206947671153</v>
      </c>
      <c r="U139">
        <f t="shared" si="48"/>
        <v>224.14595852642557</v>
      </c>
      <c r="V139">
        <f t="shared" si="48"/>
        <v>253.78998912092348</v>
      </c>
      <c r="W139">
        <f t="shared" si="48"/>
        <v>249.25710520725571</v>
      </c>
      <c r="X139">
        <f t="shared" si="48"/>
        <v>250.90542663040759</v>
      </c>
      <c r="Y139">
        <f t="shared" si="48"/>
        <v>233.39201150941841</v>
      </c>
      <c r="Z139">
        <f t="shared" si="48"/>
        <v>252.96582840934749</v>
      </c>
    </row>
    <row r="140" spans="2:26" x14ac:dyDescent="0.25">
      <c r="B140">
        <v>12.35</v>
      </c>
      <c r="C140">
        <f t="shared" ref="C140:Z140" si="49">(((($AC63-EXP(52.57-6690.9/(273.15+$AE63)-4.681*LN(273.15+$AE63)))/1013)*C63/100*0.2095*(48.998-1.335*$AE63+0.02755*POWER($AE63,2)-0.000322*POWER($AE63,3)+0.000001598*POWER($AE63,4))*32/22.414))*31.25</f>
        <v>252.55374805355956</v>
      </c>
      <c r="D140">
        <f t="shared" si="49"/>
        <v>252.14166769777162</v>
      </c>
      <c r="E140">
        <f t="shared" si="49"/>
        <v>235.8129835996728</v>
      </c>
      <c r="F140">
        <f t="shared" si="49"/>
        <v>210.65032687436917</v>
      </c>
      <c r="G140">
        <f t="shared" si="49"/>
        <v>235.8129835996728</v>
      </c>
      <c r="H140">
        <f t="shared" si="49"/>
        <v>254.20206947671153</v>
      </c>
      <c r="I140">
        <f t="shared" si="49"/>
        <v>251.31750698619564</v>
      </c>
      <c r="J140">
        <f t="shared" si="49"/>
        <v>255.43831054407545</v>
      </c>
      <c r="K140">
        <f t="shared" si="49"/>
        <v>249.25710520725571</v>
      </c>
      <c r="L140">
        <f t="shared" si="49"/>
        <v>252.14166769777162</v>
      </c>
      <c r="M140">
        <f t="shared" si="49"/>
        <v>226.54117559444313</v>
      </c>
      <c r="N140">
        <f t="shared" si="49"/>
        <v>254.20206947671153</v>
      </c>
      <c r="O140">
        <f t="shared" si="49"/>
        <v>252.14166769777162</v>
      </c>
      <c r="P140">
        <f t="shared" si="49"/>
        <v>256.70030663367618</v>
      </c>
      <c r="Q140">
        <f t="shared" si="49"/>
        <v>248.84502485146774</v>
      </c>
      <c r="R140">
        <f t="shared" si="49"/>
        <v>253.78998912092348</v>
      </c>
      <c r="S140">
        <f t="shared" si="49"/>
        <v>252.14166769777162</v>
      </c>
      <c r="T140">
        <f t="shared" si="49"/>
        <v>253.37790876513554</v>
      </c>
      <c r="U140">
        <f t="shared" si="49"/>
        <v>223.73387817063755</v>
      </c>
      <c r="V140">
        <f t="shared" si="49"/>
        <v>253.78998912092348</v>
      </c>
      <c r="W140">
        <f t="shared" si="49"/>
        <v>249.25710520725571</v>
      </c>
      <c r="X140">
        <f t="shared" si="49"/>
        <v>251.72958734198357</v>
      </c>
      <c r="Y140">
        <f t="shared" si="49"/>
        <v>232.97993115363039</v>
      </c>
      <c r="Z140">
        <f t="shared" si="49"/>
        <v>252.96582840934749</v>
      </c>
    </row>
    <row r="141" spans="2:26" x14ac:dyDescent="0.25">
      <c r="B141">
        <v>12.6</v>
      </c>
      <c r="C141">
        <f t="shared" ref="C141:Z141" si="50">(((($AC64-EXP(52.57-6690.9/(273.15+$AE64)-4.681*LN(273.15+$AE64)))/1013)*C64/100*0.2095*(48.998-1.335*$AE64+0.02755*POWER($AE64,2)-0.000322*POWER($AE64,3)+0.000001598*POWER($AE64,4))*32/22.414))*31.25</f>
        <v>252.45736439122962</v>
      </c>
      <c r="D141">
        <f t="shared" si="50"/>
        <v>251.22159511825603</v>
      </c>
      <c r="E141">
        <f t="shared" si="50"/>
        <v>234.51296473992562</v>
      </c>
      <c r="F141">
        <f t="shared" si="50"/>
        <v>210.18375717825805</v>
      </c>
      <c r="G141">
        <f t="shared" si="50"/>
        <v>235.31106572872105</v>
      </c>
      <c r="H141">
        <f t="shared" si="50"/>
        <v>254.1050567551944</v>
      </c>
      <c r="I141">
        <f t="shared" si="50"/>
        <v>251.22159511825603</v>
      </c>
      <c r="J141">
        <f t="shared" si="50"/>
        <v>254.92890293717679</v>
      </c>
      <c r="K141">
        <f t="shared" si="50"/>
        <v>249.57390275429128</v>
      </c>
      <c r="L141">
        <f t="shared" si="50"/>
        <v>252.04544130023842</v>
      </c>
      <c r="M141">
        <f t="shared" si="50"/>
        <v>224.85851729481942</v>
      </c>
      <c r="N141">
        <f t="shared" si="50"/>
        <v>253.28121057321195</v>
      </c>
      <c r="O141">
        <f t="shared" si="50"/>
        <v>252.86928748222081</v>
      </c>
      <c r="P141">
        <f t="shared" si="50"/>
        <v>256.60234049432853</v>
      </c>
      <c r="Q141">
        <f t="shared" si="50"/>
        <v>249.1619796633</v>
      </c>
      <c r="R141">
        <f t="shared" si="50"/>
        <v>252.45736439122962</v>
      </c>
      <c r="S141">
        <f t="shared" si="50"/>
        <v>251.63351820924723</v>
      </c>
      <c r="T141">
        <f t="shared" si="50"/>
        <v>253.69313366420326</v>
      </c>
      <c r="U141">
        <f t="shared" si="50"/>
        <v>222.85039222623735</v>
      </c>
      <c r="V141">
        <f t="shared" si="50"/>
        <v>254.1050567551944</v>
      </c>
      <c r="W141">
        <f t="shared" si="50"/>
        <v>249.1619796633</v>
      </c>
      <c r="X141">
        <f t="shared" si="50"/>
        <v>252.04544130023842</v>
      </c>
      <c r="Y141">
        <f t="shared" si="50"/>
        <v>232.89101756914775</v>
      </c>
      <c r="Z141">
        <f t="shared" si="50"/>
        <v>252.86928748222081</v>
      </c>
    </row>
    <row r="142" spans="2:26" x14ac:dyDescent="0.25">
      <c r="B142">
        <v>12.87</v>
      </c>
      <c r="C142">
        <f t="shared" ref="C142:Z142" si="51">(((($AC65-EXP(52.57-6690.9/(273.15+$AE65)-4.681*LN(273.15+$AE65)))/1013)*C65/100*0.2095*(48.998-1.335*$AE65+0.02755*POWER($AE65,2)-0.000322*POWER($AE65,3)+0.000001598*POWER($AE65,4))*32/22.414))*31.25</f>
        <v>252.14166769777162</v>
      </c>
      <c r="D142">
        <f t="shared" si="51"/>
        <v>251.72958734198357</v>
      </c>
      <c r="E142">
        <f t="shared" si="51"/>
        <v>235.40090324388481</v>
      </c>
      <c r="F142">
        <f t="shared" si="51"/>
        <v>210.26400154081784</v>
      </c>
      <c r="G142">
        <f t="shared" si="51"/>
        <v>235.40090324388481</v>
      </c>
      <c r="H142">
        <f t="shared" si="51"/>
        <v>255.02623018828746</v>
      </c>
      <c r="I142">
        <f t="shared" si="51"/>
        <v>250.90542663040759</v>
      </c>
      <c r="J142">
        <f t="shared" si="51"/>
        <v>255.43831054407545</v>
      </c>
      <c r="K142">
        <f t="shared" si="51"/>
        <v>250.0812659188316</v>
      </c>
      <c r="L142">
        <f t="shared" si="51"/>
        <v>251.31750698619564</v>
      </c>
      <c r="M142">
        <f t="shared" si="51"/>
        <v>223.73387817063755</v>
      </c>
      <c r="N142">
        <f t="shared" si="51"/>
        <v>253.37790876513554</v>
      </c>
      <c r="O142">
        <f t="shared" si="51"/>
        <v>252.14166769777162</v>
      </c>
      <c r="P142">
        <f t="shared" si="51"/>
        <v>256.70030663367618</v>
      </c>
      <c r="Q142">
        <f t="shared" si="51"/>
        <v>249.25710520725571</v>
      </c>
      <c r="R142">
        <f t="shared" si="51"/>
        <v>253.37790876513554</v>
      </c>
      <c r="S142">
        <f t="shared" si="51"/>
        <v>252.14166769777162</v>
      </c>
      <c r="T142">
        <f t="shared" si="51"/>
        <v>253.78998912092348</v>
      </c>
      <c r="U142">
        <f t="shared" si="51"/>
        <v>223.34755283708631</v>
      </c>
      <c r="V142">
        <f t="shared" si="51"/>
        <v>254.20206947671153</v>
      </c>
      <c r="W142">
        <f t="shared" si="51"/>
        <v>249.6691855630437</v>
      </c>
      <c r="X142">
        <f t="shared" si="51"/>
        <v>251.31750698619564</v>
      </c>
      <c r="Y142">
        <f t="shared" si="51"/>
        <v>233.39201150941841</v>
      </c>
      <c r="Z142">
        <f t="shared" si="51"/>
        <v>253.37790876513554</v>
      </c>
    </row>
    <row r="143" spans="2:26" x14ac:dyDescent="0.25">
      <c r="B143">
        <v>13.1</v>
      </c>
      <c r="C143">
        <f t="shared" ref="C143:Z143" si="52">(((($AC66-EXP(52.57-6690.9/(273.15+$AE66)-4.681*LN(273.15+$AE66)))/1013)*C66/100*0.2095*(48.998-1.335*$AE66+0.02755*POWER($AE66,2)-0.000322*POWER($AE66,3)+0.000001598*POWER($AE66,4))*32/22.414))*31.25</f>
        <v>252.96582840934749</v>
      </c>
      <c r="D143">
        <f t="shared" si="52"/>
        <v>251.31750698619564</v>
      </c>
      <c r="E143">
        <f t="shared" si="52"/>
        <v>234.60249755454561</v>
      </c>
      <c r="F143">
        <f t="shared" si="52"/>
        <v>209.85192118502997</v>
      </c>
      <c r="G143">
        <f t="shared" si="52"/>
        <v>235.8129835996728</v>
      </c>
      <c r="H143">
        <f t="shared" si="52"/>
        <v>254.20206947671153</v>
      </c>
      <c r="I143">
        <f t="shared" si="52"/>
        <v>250.90542663040759</v>
      </c>
      <c r="J143">
        <f t="shared" si="52"/>
        <v>255.02623018828746</v>
      </c>
      <c r="K143">
        <f t="shared" si="52"/>
        <v>249.6691855630437</v>
      </c>
      <c r="L143">
        <f t="shared" si="52"/>
        <v>251.72958734198357</v>
      </c>
      <c r="M143">
        <f t="shared" si="52"/>
        <v>224.94436421576478</v>
      </c>
      <c r="N143">
        <f t="shared" si="52"/>
        <v>253.78998912092348</v>
      </c>
      <c r="O143">
        <f t="shared" si="52"/>
        <v>252.55374805355956</v>
      </c>
      <c r="P143">
        <f t="shared" si="52"/>
        <v>256.28822627788816</v>
      </c>
      <c r="Q143">
        <f t="shared" si="52"/>
        <v>248.45869951791647</v>
      </c>
      <c r="R143">
        <f t="shared" si="52"/>
        <v>253.78998912092348</v>
      </c>
      <c r="S143">
        <f t="shared" si="52"/>
        <v>250.90542663040759</v>
      </c>
      <c r="T143">
        <f t="shared" si="52"/>
        <v>253.78998912092348</v>
      </c>
      <c r="U143">
        <f t="shared" si="52"/>
        <v>223.34755283708631</v>
      </c>
      <c r="V143">
        <f t="shared" si="52"/>
        <v>253.37790876513554</v>
      </c>
      <c r="W143">
        <f t="shared" si="52"/>
        <v>248.84502485146774</v>
      </c>
      <c r="X143">
        <f t="shared" si="52"/>
        <v>252.14166769777162</v>
      </c>
      <c r="Y143">
        <f t="shared" si="52"/>
        <v>232.56785079784242</v>
      </c>
      <c r="Z143">
        <f t="shared" si="52"/>
        <v>253.37790876513554</v>
      </c>
    </row>
    <row r="144" spans="2:26" x14ac:dyDescent="0.25">
      <c r="B144">
        <v>13.37</v>
      </c>
      <c r="C144">
        <f t="shared" ref="C144:Z144" si="53">(((($AC67-EXP(52.57-6690.9/(273.15+$AE67)-4.681*LN(273.15+$AE67)))/1013)*C67/100*0.2095*(48.998-1.335*$AE67+0.02755*POWER($AE67,2)-0.000322*POWER($AE67,3)+0.000001598*POWER($AE67,4))*32/22.414))*31.25</f>
        <v>251.31750698619564</v>
      </c>
      <c r="D144">
        <f t="shared" si="53"/>
        <v>251.31750698619564</v>
      </c>
      <c r="E144">
        <f t="shared" si="53"/>
        <v>234.98882288809679</v>
      </c>
      <c r="F144">
        <f t="shared" si="53"/>
        <v>209.85192118502997</v>
      </c>
      <c r="G144">
        <f t="shared" si="53"/>
        <v>235.40090324388481</v>
      </c>
      <c r="H144">
        <f t="shared" si="53"/>
        <v>254.20206947671153</v>
      </c>
      <c r="I144">
        <f t="shared" si="53"/>
        <v>251.31750698619564</v>
      </c>
      <c r="J144">
        <f t="shared" si="53"/>
        <v>255.43831054407545</v>
      </c>
      <c r="K144">
        <f t="shared" si="53"/>
        <v>250.49334627461971</v>
      </c>
      <c r="L144">
        <f t="shared" si="53"/>
        <v>251.72958734198357</v>
      </c>
      <c r="M144">
        <f t="shared" si="53"/>
        <v>224.94436421576478</v>
      </c>
      <c r="N144">
        <f t="shared" si="53"/>
        <v>253.37790876513554</v>
      </c>
      <c r="O144">
        <f t="shared" si="53"/>
        <v>252.55374805355956</v>
      </c>
      <c r="P144">
        <f t="shared" si="53"/>
        <v>255.85039089986344</v>
      </c>
      <c r="Q144">
        <f t="shared" si="53"/>
        <v>248.04661916212856</v>
      </c>
      <c r="R144">
        <f t="shared" si="53"/>
        <v>252.55374805355956</v>
      </c>
      <c r="S144">
        <f t="shared" si="53"/>
        <v>251.72958734198357</v>
      </c>
      <c r="T144">
        <f t="shared" si="53"/>
        <v>253.37790876513554</v>
      </c>
      <c r="U144">
        <f t="shared" si="53"/>
        <v>222.93547248129835</v>
      </c>
      <c r="V144">
        <f t="shared" si="53"/>
        <v>253.78998912092348</v>
      </c>
      <c r="W144">
        <f t="shared" si="53"/>
        <v>249.25710520725571</v>
      </c>
      <c r="X144">
        <f t="shared" si="53"/>
        <v>250.90542663040759</v>
      </c>
      <c r="Y144">
        <f t="shared" si="53"/>
        <v>232.18152546429121</v>
      </c>
      <c r="Z144">
        <f t="shared" si="53"/>
        <v>252.55374805355956</v>
      </c>
    </row>
    <row r="145" spans="2:26" x14ac:dyDescent="0.25">
      <c r="B145">
        <v>13.62</v>
      </c>
      <c r="C145">
        <f t="shared" ref="C145:Z145" si="54">(((($AC68-EXP(52.57-6690.9/(273.15+$AE68)-4.681*LN(273.15+$AE68)))/1013)*C68/100*0.2095*(48.998-1.335*$AE68+0.02755*POWER($AE68,2)-0.000322*POWER($AE68,3)+0.000001598*POWER($AE68,4))*32/22.414))*31.25</f>
        <v>252.55374805355956</v>
      </c>
      <c r="D145">
        <f t="shared" si="54"/>
        <v>251.72958734198357</v>
      </c>
      <c r="E145">
        <f t="shared" si="54"/>
        <v>234.19041719875761</v>
      </c>
      <c r="F145">
        <f t="shared" si="54"/>
        <v>209.85192118502997</v>
      </c>
      <c r="G145">
        <f t="shared" si="54"/>
        <v>235.40090324388481</v>
      </c>
      <c r="H145">
        <f t="shared" si="54"/>
        <v>254.20206947671153</v>
      </c>
      <c r="I145">
        <f t="shared" si="54"/>
        <v>251.31750698619564</v>
      </c>
      <c r="J145">
        <f t="shared" si="54"/>
        <v>255.02623018828746</v>
      </c>
      <c r="K145">
        <f t="shared" si="54"/>
        <v>250.0812659188316</v>
      </c>
      <c r="L145">
        <f t="shared" si="54"/>
        <v>250.90542663040759</v>
      </c>
      <c r="M145">
        <f t="shared" si="54"/>
        <v>224.94436421576478</v>
      </c>
      <c r="N145">
        <f t="shared" si="54"/>
        <v>253.37790876513554</v>
      </c>
      <c r="O145">
        <f t="shared" si="54"/>
        <v>252.55374805355956</v>
      </c>
      <c r="P145">
        <f t="shared" si="54"/>
        <v>256.28822627788816</v>
      </c>
      <c r="Q145">
        <f t="shared" si="54"/>
        <v>248.45869951791647</v>
      </c>
      <c r="R145">
        <f t="shared" si="54"/>
        <v>252.96582840934749</v>
      </c>
      <c r="S145">
        <f t="shared" si="54"/>
        <v>252.14166769777162</v>
      </c>
      <c r="T145">
        <f t="shared" si="54"/>
        <v>254.20206947671153</v>
      </c>
      <c r="U145">
        <f t="shared" si="54"/>
        <v>222.54914714774711</v>
      </c>
      <c r="V145">
        <f t="shared" si="54"/>
        <v>253.78998912092348</v>
      </c>
      <c r="W145">
        <f t="shared" si="54"/>
        <v>248.45869951791647</v>
      </c>
      <c r="X145">
        <f t="shared" si="54"/>
        <v>251.72958734198357</v>
      </c>
      <c r="Y145">
        <f t="shared" si="54"/>
        <v>232.56785079784242</v>
      </c>
      <c r="Z145">
        <f t="shared" si="54"/>
        <v>252.55374805355956</v>
      </c>
    </row>
    <row r="146" spans="2:26" x14ac:dyDescent="0.25">
      <c r="B146">
        <v>13.87</v>
      </c>
      <c r="C146">
        <f t="shared" ref="C146:Z146" si="55">(((($AC69-EXP(52.57-6690.9/(273.15+$AE69)-4.681*LN(273.15+$AE69)))/1013)*C69/100*0.2095*(48.998-1.335*$AE69+0.02755*POWER($AE69,2)-0.000322*POWER($AE69,3)+0.000001598*POWER($AE69,4))*32/22.414))*31.25</f>
        <v>252.45736439122962</v>
      </c>
      <c r="D146">
        <f t="shared" si="55"/>
        <v>251.63351820924723</v>
      </c>
      <c r="E146">
        <f t="shared" si="55"/>
        <v>234.89914263772985</v>
      </c>
      <c r="F146">
        <f t="shared" si="55"/>
        <v>209.77183408726688</v>
      </c>
      <c r="G146">
        <f t="shared" si="55"/>
        <v>235.72298881971224</v>
      </c>
      <c r="H146">
        <f t="shared" si="55"/>
        <v>254.1050567551944</v>
      </c>
      <c r="I146">
        <f t="shared" si="55"/>
        <v>249.98582584528242</v>
      </c>
      <c r="J146">
        <f t="shared" si="55"/>
        <v>255.34082602816798</v>
      </c>
      <c r="K146">
        <f t="shared" si="55"/>
        <v>249.57390275429128</v>
      </c>
      <c r="L146">
        <f t="shared" si="55"/>
        <v>251.63351820924723</v>
      </c>
      <c r="M146">
        <f t="shared" si="55"/>
        <v>224.44659420382823</v>
      </c>
      <c r="N146">
        <f t="shared" si="55"/>
        <v>253.69313366420326</v>
      </c>
      <c r="O146">
        <f t="shared" si="55"/>
        <v>252.45736439122962</v>
      </c>
      <c r="P146">
        <f t="shared" si="55"/>
        <v>257.01426358531972</v>
      </c>
      <c r="Q146">
        <f t="shared" si="55"/>
        <v>247.95195558351344</v>
      </c>
      <c r="R146">
        <f t="shared" si="55"/>
        <v>253.28121057321195</v>
      </c>
      <c r="S146">
        <f t="shared" si="55"/>
        <v>250.80967202726484</v>
      </c>
      <c r="T146">
        <f t="shared" si="55"/>
        <v>253.69313366420326</v>
      </c>
      <c r="U146">
        <f t="shared" si="55"/>
        <v>222.85039222623735</v>
      </c>
      <c r="V146">
        <f t="shared" si="55"/>
        <v>254.1050567551944</v>
      </c>
      <c r="W146">
        <f t="shared" si="55"/>
        <v>248.75005657230884</v>
      </c>
      <c r="X146">
        <f t="shared" si="55"/>
        <v>251.22159511825603</v>
      </c>
      <c r="Y146">
        <f t="shared" si="55"/>
        <v>232.47909447815655</v>
      </c>
      <c r="Z146">
        <f t="shared" si="55"/>
        <v>252.86928748222081</v>
      </c>
    </row>
    <row r="147" spans="2:26" x14ac:dyDescent="0.25">
      <c r="B147">
        <v>14.12</v>
      </c>
      <c r="C147">
        <f t="shared" ref="C147:Z147" si="56">(((($AC70-EXP(52.57-6690.9/(273.15+$AE70)-4.681*LN(273.15+$AE70)))/1013)*C70/100*0.2095*(48.998-1.335*$AE70+0.02755*POWER($AE70,2)-0.000322*POWER($AE70,3)+0.000001598*POWER($AE70,4))*32/22.414))*31.25</f>
        <v>252.45736439122962</v>
      </c>
      <c r="D147">
        <f t="shared" si="56"/>
        <v>251.63351820924723</v>
      </c>
      <c r="E147">
        <f t="shared" si="56"/>
        <v>234.89914263772985</v>
      </c>
      <c r="F147">
        <f t="shared" si="56"/>
        <v>209.77183408726688</v>
      </c>
      <c r="G147">
        <f t="shared" si="56"/>
        <v>235.72298881971224</v>
      </c>
      <c r="H147">
        <f t="shared" si="56"/>
        <v>254.51697984618559</v>
      </c>
      <c r="I147">
        <f t="shared" si="56"/>
        <v>250.39774893627364</v>
      </c>
      <c r="J147">
        <f t="shared" si="56"/>
        <v>254.51697984618559</v>
      </c>
      <c r="K147">
        <f t="shared" si="56"/>
        <v>249.98582584528242</v>
      </c>
      <c r="L147">
        <f t="shared" si="56"/>
        <v>251.22159511825603</v>
      </c>
      <c r="M147">
        <f t="shared" si="56"/>
        <v>224.06041630602394</v>
      </c>
      <c r="N147">
        <f t="shared" si="56"/>
        <v>253.69313366420326</v>
      </c>
      <c r="O147">
        <f t="shared" si="56"/>
        <v>252.04544130023842</v>
      </c>
      <c r="P147">
        <f t="shared" si="56"/>
        <v>256.19041740333734</v>
      </c>
      <c r="Q147">
        <f t="shared" si="56"/>
        <v>248.75005657230884</v>
      </c>
      <c r="R147">
        <f t="shared" si="56"/>
        <v>253.69313366420326</v>
      </c>
      <c r="S147">
        <f t="shared" si="56"/>
        <v>252.45736439122962</v>
      </c>
      <c r="T147">
        <f t="shared" si="56"/>
        <v>254.1050567551944</v>
      </c>
      <c r="U147">
        <f t="shared" si="56"/>
        <v>222.05229123744195</v>
      </c>
      <c r="V147">
        <f t="shared" si="56"/>
        <v>253.28121057321195</v>
      </c>
      <c r="W147">
        <f t="shared" si="56"/>
        <v>249.1619796633</v>
      </c>
      <c r="X147">
        <f t="shared" si="56"/>
        <v>252.04544130023842</v>
      </c>
      <c r="Y147">
        <f t="shared" si="56"/>
        <v>232.47909447815655</v>
      </c>
      <c r="Z147">
        <f t="shared" si="56"/>
        <v>252.86928748222081</v>
      </c>
    </row>
    <row r="148" spans="2:26" x14ac:dyDescent="0.25">
      <c r="B148">
        <v>14.37</v>
      </c>
      <c r="C148">
        <f t="shared" ref="C148:Z148" si="57">(((($AC71-EXP(52.57-6690.9/(273.15+$AE71)-4.681*LN(273.15+$AE71)))/1013)*C71/100*0.2095*(48.998-1.335*$AE71+0.02755*POWER($AE71,2)-0.000322*POWER($AE71,3)+0.000001598*POWER($AE71,4))*32/22.414))*31.25</f>
        <v>252.45736439122962</v>
      </c>
      <c r="D148">
        <f t="shared" si="57"/>
        <v>252.04544130023842</v>
      </c>
      <c r="E148">
        <f t="shared" si="57"/>
        <v>234.89914263772985</v>
      </c>
      <c r="F148">
        <f t="shared" si="57"/>
        <v>209.77183408726688</v>
      </c>
      <c r="G148">
        <f t="shared" si="57"/>
        <v>235.31106572872105</v>
      </c>
      <c r="H148">
        <f t="shared" si="57"/>
        <v>254.1050567551944</v>
      </c>
      <c r="I148">
        <f t="shared" si="57"/>
        <v>250.39774893627364</v>
      </c>
      <c r="J148">
        <f t="shared" si="57"/>
        <v>255.34082602816798</v>
      </c>
      <c r="K148">
        <f t="shared" si="57"/>
        <v>249.98582584528242</v>
      </c>
      <c r="L148">
        <f t="shared" si="57"/>
        <v>251.63351820924723</v>
      </c>
      <c r="M148">
        <f t="shared" si="57"/>
        <v>223.64849321503283</v>
      </c>
      <c r="N148">
        <f t="shared" si="57"/>
        <v>253.28121057321195</v>
      </c>
      <c r="O148">
        <f t="shared" si="57"/>
        <v>252.04544130023842</v>
      </c>
      <c r="P148">
        <f t="shared" si="57"/>
        <v>256.19041740333734</v>
      </c>
      <c r="Q148">
        <f t="shared" si="57"/>
        <v>248.3638786745046</v>
      </c>
      <c r="R148">
        <f t="shared" si="57"/>
        <v>252.04544130023842</v>
      </c>
      <c r="S148">
        <f t="shared" si="57"/>
        <v>251.63351820924723</v>
      </c>
      <c r="T148">
        <f t="shared" si="57"/>
        <v>253.69313366420326</v>
      </c>
      <c r="U148">
        <f t="shared" si="57"/>
        <v>222.05229123744195</v>
      </c>
      <c r="V148">
        <f t="shared" si="57"/>
        <v>254.1050567551944</v>
      </c>
      <c r="W148">
        <f t="shared" si="57"/>
        <v>249.57390275429128</v>
      </c>
      <c r="X148">
        <f t="shared" si="57"/>
        <v>251.22159511825603</v>
      </c>
      <c r="Y148">
        <f t="shared" si="57"/>
        <v>232.47909447815655</v>
      </c>
      <c r="Z148">
        <f t="shared" si="57"/>
        <v>253.69313366420326</v>
      </c>
    </row>
    <row r="149" spans="2:26" x14ac:dyDescent="0.25">
      <c r="B149">
        <v>14.62</v>
      </c>
      <c r="C149">
        <f t="shared" ref="C149:Z149" si="58">(((($AC72-EXP(52.57-6690.9/(273.15+$AE72)-4.681*LN(273.15+$AE72)))/1013)*C72/100*0.2095*(48.998-1.335*$AE72+0.02755*POWER($AE72,2)-0.000322*POWER($AE72,3)+0.000001598*POWER($AE72,4))*32/22.414))*31.25</f>
        <v>253.28121057321195</v>
      </c>
      <c r="D149">
        <f t="shared" si="58"/>
        <v>251.63351820924723</v>
      </c>
      <c r="E149">
        <f t="shared" si="58"/>
        <v>233.68911855794317</v>
      </c>
      <c r="F149">
        <f t="shared" si="58"/>
        <v>209.38565618946265</v>
      </c>
      <c r="G149">
        <f t="shared" si="58"/>
        <v>236.13491191070344</v>
      </c>
      <c r="H149">
        <f t="shared" si="58"/>
        <v>254.51697984618559</v>
      </c>
      <c r="I149">
        <f t="shared" si="58"/>
        <v>250.80967202726484</v>
      </c>
      <c r="J149">
        <f t="shared" si="58"/>
        <v>255.34082602816798</v>
      </c>
      <c r="K149">
        <f t="shared" si="58"/>
        <v>250.39774893627364</v>
      </c>
      <c r="L149">
        <f t="shared" si="58"/>
        <v>252.04544130023842</v>
      </c>
      <c r="M149">
        <f t="shared" si="58"/>
        <v>224.06041630602394</v>
      </c>
      <c r="N149">
        <f t="shared" si="58"/>
        <v>253.28121057321195</v>
      </c>
      <c r="O149">
        <f t="shared" si="58"/>
        <v>252.45736439122962</v>
      </c>
      <c r="P149">
        <f t="shared" si="58"/>
        <v>255.75274911915918</v>
      </c>
      <c r="Q149">
        <f t="shared" si="58"/>
        <v>248.3638786745046</v>
      </c>
      <c r="R149">
        <f t="shared" si="58"/>
        <v>253.28121057321195</v>
      </c>
      <c r="S149">
        <f t="shared" si="58"/>
        <v>251.63351820924723</v>
      </c>
      <c r="T149">
        <f t="shared" si="58"/>
        <v>254.1050567551944</v>
      </c>
      <c r="U149">
        <f t="shared" si="58"/>
        <v>222.05229123744195</v>
      </c>
      <c r="V149">
        <f t="shared" si="58"/>
        <v>254.1050567551944</v>
      </c>
      <c r="W149">
        <f t="shared" si="58"/>
        <v>248.75005657230884</v>
      </c>
      <c r="X149">
        <f t="shared" si="58"/>
        <v>252.45736439122962</v>
      </c>
      <c r="Y149">
        <f t="shared" si="58"/>
        <v>232.89101756914775</v>
      </c>
      <c r="Z149">
        <f t="shared" si="58"/>
        <v>253.28121057321195</v>
      </c>
    </row>
    <row r="150" spans="2:26" x14ac:dyDescent="0.25">
      <c r="B150">
        <v>14.87</v>
      </c>
      <c r="C150">
        <f t="shared" ref="C150:Z150" si="59">(((($AC73-EXP(52.57-6690.9/(273.15+$AE73)-4.681*LN(273.15+$AE73)))/1013)*C73/100*0.2095*(48.998-1.335*$AE73+0.02755*POWER($AE73,2)-0.000322*POWER($AE73,3)+0.000001598*POWER($AE73,4))*32/22.414))*31.25</f>
        <v>252.96582840934749</v>
      </c>
      <c r="D150">
        <f t="shared" si="59"/>
        <v>251.31750698619564</v>
      </c>
      <c r="E150">
        <f t="shared" si="59"/>
        <v>234.60249755454561</v>
      </c>
      <c r="F150">
        <f t="shared" si="59"/>
        <v>209.46559585147864</v>
      </c>
      <c r="G150">
        <f t="shared" si="59"/>
        <v>235.40090324388481</v>
      </c>
      <c r="H150">
        <f t="shared" si="59"/>
        <v>254.20206947671153</v>
      </c>
      <c r="I150">
        <f t="shared" si="59"/>
        <v>250.49334627461971</v>
      </c>
      <c r="J150">
        <f t="shared" si="59"/>
        <v>255.43831054407545</v>
      </c>
      <c r="K150">
        <f t="shared" si="59"/>
        <v>250.0812659188316</v>
      </c>
      <c r="L150">
        <f t="shared" si="59"/>
        <v>251.72958734198357</v>
      </c>
      <c r="M150">
        <f t="shared" si="59"/>
        <v>224.14595852642557</v>
      </c>
      <c r="N150">
        <f t="shared" si="59"/>
        <v>253.37790876513554</v>
      </c>
      <c r="O150">
        <f t="shared" si="59"/>
        <v>252.55374805355956</v>
      </c>
      <c r="P150">
        <f t="shared" si="59"/>
        <v>255.85039089986344</v>
      </c>
      <c r="Q150">
        <f t="shared" si="59"/>
        <v>248.04661916212856</v>
      </c>
      <c r="R150">
        <f t="shared" si="59"/>
        <v>253.37790876513554</v>
      </c>
      <c r="S150">
        <f t="shared" si="59"/>
        <v>251.72958734198357</v>
      </c>
      <c r="T150">
        <f t="shared" si="59"/>
        <v>253.78998912092348</v>
      </c>
      <c r="U150">
        <f t="shared" si="59"/>
        <v>222.93547248129835</v>
      </c>
      <c r="V150">
        <f t="shared" si="59"/>
        <v>253.78998912092348</v>
      </c>
      <c r="W150">
        <f t="shared" si="59"/>
        <v>249.6691855630437</v>
      </c>
      <c r="X150">
        <f t="shared" si="59"/>
        <v>252.14166769777162</v>
      </c>
      <c r="Y150">
        <f t="shared" si="59"/>
        <v>232.97993115363039</v>
      </c>
      <c r="Z150">
        <f t="shared" si="59"/>
        <v>253.78998912092348</v>
      </c>
    </row>
    <row r="151" spans="2:26" x14ac:dyDescent="0.25">
      <c r="B151">
        <v>15.12</v>
      </c>
      <c r="C151">
        <f t="shared" ref="C151:Z151" si="60">(((($AC74-EXP(52.57-6690.9/(273.15+$AE74)-4.681*LN(273.15+$AE74)))/1013)*C74/100*0.2095*(48.998-1.335*$AE74+0.02755*POWER($AE74,2)-0.000322*POWER($AE74,3)+0.000001598*POWER($AE74,4))*32/22.414))*31.25</f>
        <v>252.45736439122962</v>
      </c>
      <c r="D151">
        <f t="shared" si="60"/>
        <v>251.63351820924723</v>
      </c>
      <c r="E151">
        <f t="shared" si="60"/>
        <v>235.31106572872105</v>
      </c>
      <c r="F151">
        <f t="shared" si="60"/>
        <v>209.77183408726688</v>
      </c>
      <c r="G151">
        <f t="shared" si="60"/>
        <v>235.72298881971224</v>
      </c>
      <c r="H151">
        <f t="shared" si="60"/>
        <v>254.1050567551944</v>
      </c>
      <c r="I151">
        <f t="shared" si="60"/>
        <v>250.80967202726484</v>
      </c>
      <c r="J151">
        <f t="shared" si="60"/>
        <v>254.1050567551944</v>
      </c>
      <c r="K151">
        <f t="shared" si="60"/>
        <v>249.1619796633</v>
      </c>
      <c r="L151">
        <f t="shared" si="60"/>
        <v>251.63351820924723</v>
      </c>
      <c r="M151">
        <f t="shared" si="60"/>
        <v>222.85039222623735</v>
      </c>
      <c r="N151">
        <f t="shared" si="60"/>
        <v>253.28121057321195</v>
      </c>
      <c r="O151">
        <f t="shared" si="60"/>
        <v>252.45736439122962</v>
      </c>
      <c r="P151">
        <f t="shared" si="60"/>
        <v>256.60234049432853</v>
      </c>
      <c r="Q151">
        <f t="shared" si="60"/>
        <v>247.95195558351344</v>
      </c>
      <c r="R151">
        <f t="shared" si="60"/>
        <v>253.69313366420326</v>
      </c>
      <c r="S151">
        <f t="shared" si="60"/>
        <v>252.04544130023842</v>
      </c>
      <c r="T151">
        <f t="shared" si="60"/>
        <v>254.1050567551944</v>
      </c>
      <c r="U151">
        <f t="shared" si="60"/>
        <v>222.46421432843309</v>
      </c>
      <c r="V151">
        <f t="shared" si="60"/>
        <v>253.69313366420326</v>
      </c>
      <c r="W151">
        <f t="shared" si="60"/>
        <v>248.75005657230884</v>
      </c>
      <c r="X151">
        <f t="shared" si="60"/>
        <v>251.63351820924723</v>
      </c>
      <c r="Y151">
        <f t="shared" si="60"/>
        <v>231.68099348936107</v>
      </c>
      <c r="Z151">
        <f t="shared" si="60"/>
        <v>253.28121057321195</v>
      </c>
    </row>
    <row r="152" spans="2:26" x14ac:dyDescent="0.25">
      <c r="B152">
        <v>15.37</v>
      </c>
      <c r="C152">
        <f t="shared" ref="C152:Z152" si="61">(((($AC75-EXP(52.57-6690.9/(273.15+$AE75)-4.681*LN(273.15+$AE75)))/1013)*C75/100*0.2095*(48.998-1.335*$AE75+0.02755*POWER($AE75,2)-0.000322*POWER($AE75,3)+0.000001598*POWER($AE75,4))*32/22.414))*31.25</f>
        <v>252.86928748222081</v>
      </c>
      <c r="D152">
        <f t="shared" si="61"/>
        <v>252.45736439122962</v>
      </c>
      <c r="E152">
        <f t="shared" si="61"/>
        <v>234.51296473992562</v>
      </c>
      <c r="F152">
        <f t="shared" si="61"/>
        <v>209.38565618946265</v>
      </c>
      <c r="G152">
        <f t="shared" si="61"/>
        <v>235.72298881971224</v>
      </c>
      <c r="H152">
        <f t="shared" si="61"/>
        <v>254.51697984618559</v>
      </c>
      <c r="I152">
        <f t="shared" si="61"/>
        <v>249.98582584528242</v>
      </c>
      <c r="J152">
        <f t="shared" si="61"/>
        <v>255.34082602816798</v>
      </c>
      <c r="K152">
        <f t="shared" si="61"/>
        <v>249.98582584528242</v>
      </c>
      <c r="L152">
        <f t="shared" si="61"/>
        <v>251.63351820924723</v>
      </c>
      <c r="M152">
        <f t="shared" si="61"/>
        <v>222.85039222623735</v>
      </c>
      <c r="N152">
        <f t="shared" si="61"/>
        <v>253.28121057321195</v>
      </c>
      <c r="O152">
        <f t="shared" si="61"/>
        <v>253.28121057321195</v>
      </c>
      <c r="P152">
        <f t="shared" si="61"/>
        <v>257.01426358531972</v>
      </c>
      <c r="Q152">
        <f t="shared" si="61"/>
        <v>249.1619796633</v>
      </c>
      <c r="R152">
        <f t="shared" si="61"/>
        <v>252.86928748222081</v>
      </c>
      <c r="S152">
        <f t="shared" si="61"/>
        <v>252.04544130023842</v>
      </c>
      <c r="T152">
        <f t="shared" si="61"/>
        <v>253.69313366420326</v>
      </c>
      <c r="U152">
        <f t="shared" si="61"/>
        <v>222.05229123744195</v>
      </c>
      <c r="V152">
        <f t="shared" si="61"/>
        <v>254.1050567551944</v>
      </c>
      <c r="W152">
        <f t="shared" si="61"/>
        <v>248.75005657230884</v>
      </c>
      <c r="X152">
        <f t="shared" si="61"/>
        <v>252.04544130023842</v>
      </c>
      <c r="Y152">
        <f t="shared" si="61"/>
        <v>232.47909447815655</v>
      </c>
      <c r="Z152">
        <f t="shared" si="61"/>
        <v>252.45736439122962</v>
      </c>
    </row>
    <row r="153" spans="2:26" x14ac:dyDescent="0.25">
      <c r="B153">
        <v>15.62</v>
      </c>
      <c r="C153">
        <f t="shared" ref="C153:Z153" si="62">(((($AC76-EXP(52.57-6690.9/(273.15+$AE76)-4.681*LN(273.15+$AE76)))/1013)*C76/100*0.2095*(48.998-1.335*$AE76+0.02755*POWER($AE76,2)-0.000322*POWER($AE76,3)+0.000001598*POWER($AE76,4))*32/22.414))*31.25</f>
        <v>252.96582840934749</v>
      </c>
      <c r="D153">
        <f t="shared" si="62"/>
        <v>250.90542663040759</v>
      </c>
      <c r="E153">
        <f t="shared" si="62"/>
        <v>234.60249755454561</v>
      </c>
      <c r="F153">
        <f t="shared" si="62"/>
        <v>209.46559585147864</v>
      </c>
      <c r="G153">
        <f t="shared" si="62"/>
        <v>235.40090324388481</v>
      </c>
      <c r="H153">
        <f t="shared" si="62"/>
        <v>254.20206947671153</v>
      </c>
      <c r="I153">
        <f t="shared" si="62"/>
        <v>250.90542663040759</v>
      </c>
      <c r="J153">
        <f t="shared" si="62"/>
        <v>255.85039089986344</v>
      </c>
      <c r="K153">
        <f t="shared" si="62"/>
        <v>250.0812659188316</v>
      </c>
      <c r="L153">
        <f t="shared" si="62"/>
        <v>251.31750698619564</v>
      </c>
      <c r="M153">
        <f t="shared" si="62"/>
        <v>223.34755283708631</v>
      </c>
      <c r="N153">
        <f t="shared" si="62"/>
        <v>253.78998912092348</v>
      </c>
      <c r="O153">
        <f t="shared" si="62"/>
        <v>252.96582840934749</v>
      </c>
      <c r="P153">
        <f t="shared" si="62"/>
        <v>256.70030663367618</v>
      </c>
      <c r="Q153">
        <f t="shared" si="62"/>
        <v>248.45869951791647</v>
      </c>
      <c r="R153">
        <f t="shared" si="62"/>
        <v>252.55374805355956</v>
      </c>
      <c r="S153">
        <f t="shared" si="62"/>
        <v>252.14166769777162</v>
      </c>
      <c r="T153">
        <f t="shared" si="62"/>
        <v>254.20206947671153</v>
      </c>
      <c r="U153">
        <f t="shared" si="62"/>
        <v>222.13706679195914</v>
      </c>
      <c r="V153">
        <f t="shared" si="62"/>
        <v>254.20206947671153</v>
      </c>
      <c r="W153">
        <f t="shared" si="62"/>
        <v>248.45869951791647</v>
      </c>
      <c r="X153">
        <f t="shared" si="62"/>
        <v>251.72958734198357</v>
      </c>
      <c r="Y153">
        <f t="shared" si="62"/>
        <v>232.18152546429121</v>
      </c>
      <c r="Z153">
        <f t="shared" si="62"/>
        <v>253.37790876513554</v>
      </c>
    </row>
    <row r="154" spans="2:26" x14ac:dyDescent="0.25">
      <c r="B154">
        <v>15.87</v>
      </c>
      <c r="C154">
        <f t="shared" ref="C154:Z154" si="63">(((($AC77-EXP(52.57-6690.9/(273.15+$AE77)-4.681*LN(273.15+$AE77)))/1013)*C77/100*0.2095*(48.998-1.335*$AE77+0.02755*POWER($AE77,2)-0.000322*POWER($AE77,3)+0.000001598*POWER($AE77,4))*32/22.414))*31.25</f>
        <v>252.86928748222081</v>
      </c>
      <c r="D154">
        <f t="shared" si="63"/>
        <v>251.22159511825603</v>
      </c>
      <c r="E154">
        <f t="shared" si="63"/>
        <v>234.10104164893443</v>
      </c>
      <c r="F154">
        <f t="shared" si="63"/>
        <v>209.38565618946265</v>
      </c>
      <c r="G154">
        <f t="shared" si="63"/>
        <v>234.89914263772985</v>
      </c>
      <c r="H154">
        <f t="shared" si="63"/>
        <v>254.92890293717679</v>
      </c>
      <c r="I154">
        <f t="shared" si="63"/>
        <v>251.22159511825603</v>
      </c>
      <c r="J154">
        <f t="shared" si="63"/>
        <v>254.51697984618559</v>
      </c>
      <c r="K154">
        <f t="shared" si="63"/>
        <v>249.98582584528242</v>
      </c>
      <c r="L154">
        <f t="shared" si="63"/>
        <v>251.22159511825603</v>
      </c>
      <c r="M154">
        <f t="shared" si="63"/>
        <v>222.85039222623735</v>
      </c>
      <c r="N154">
        <f t="shared" si="63"/>
        <v>253.69313366420326</v>
      </c>
      <c r="O154">
        <f t="shared" si="63"/>
        <v>252.04544130023842</v>
      </c>
      <c r="P154">
        <f t="shared" si="63"/>
        <v>255.75274911915918</v>
      </c>
      <c r="Q154">
        <f t="shared" si="63"/>
        <v>248.75005657230884</v>
      </c>
      <c r="R154">
        <f t="shared" si="63"/>
        <v>252.86928748222081</v>
      </c>
      <c r="S154">
        <f t="shared" si="63"/>
        <v>251.63351820924723</v>
      </c>
      <c r="T154">
        <f t="shared" si="63"/>
        <v>254.1050567551944</v>
      </c>
      <c r="U154">
        <f t="shared" si="63"/>
        <v>222.46421432843309</v>
      </c>
      <c r="V154">
        <f t="shared" si="63"/>
        <v>253.69313366420326</v>
      </c>
      <c r="W154">
        <f t="shared" si="63"/>
        <v>249.1619796633</v>
      </c>
      <c r="X154">
        <f t="shared" si="63"/>
        <v>252.04544130023842</v>
      </c>
      <c r="Y154">
        <f t="shared" si="63"/>
        <v>232.89101756914775</v>
      </c>
      <c r="Z154">
        <f t="shared" si="63"/>
        <v>253.28121057321195</v>
      </c>
    </row>
    <row r="155" spans="2:26" x14ac:dyDescent="0.25">
      <c r="B155">
        <v>16.12</v>
      </c>
      <c r="C155">
        <f t="shared" ref="C155:Z155" si="64">(((($AC78-EXP(52.57-6690.9/(273.15+$AE78)-4.681*LN(273.15+$AE78)))/1013)*C78/100*0.2095*(48.998-1.335*$AE78+0.02755*POWER($AE78,2)-0.000322*POWER($AE78,3)+0.000001598*POWER($AE78,4))*32/22.414))*31.25</f>
        <v>252.86928748222081</v>
      </c>
      <c r="D155">
        <f t="shared" si="64"/>
        <v>252.04544130023842</v>
      </c>
      <c r="E155">
        <f t="shared" si="64"/>
        <v>234.10104164893443</v>
      </c>
      <c r="F155">
        <f t="shared" si="64"/>
        <v>208.99947829165839</v>
      </c>
      <c r="G155">
        <f t="shared" si="64"/>
        <v>235.31106572872105</v>
      </c>
      <c r="H155">
        <f t="shared" si="64"/>
        <v>254.51697984618559</v>
      </c>
      <c r="I155">
        <f t="shared" si="64"/>
        <v>250.39774893627364</v>
      </c>
      <c r="J155">
        <f t="shared" si="64"/>
        <v>254.51697984618559</v>
      </c>
      <c r="K155">
        <f t="shared" si="64"/>
        <v>249.57390275429128</v>
      </c>
      <c r="L155">
        <f t="shared" si="64"/>
        <v>251.22159511825603</v>
      </c>
      <c r="M155">
        <f t="shared" si="64"/>
        <v>223.26231531722857</v>
      </c>
      <c r="N155">
        <f t="shared" si="64"/>
        <v>252.86928748222081</v>
      </c>
      <c r="O155">
        <f t="shared" si="64"/>
        <v>252.45736439122962</v>
      </c>
      <c r="P155">
        <f t="shared" si="64"/>
        <v>255.34082602816798</v>
      </c>
      <c r="Q155">
        <f t="shared" si="64"/>
        <v>247.54003249252222</v>
      </c>
      <c r="R155">
        <f t="shared" si="64"/>
        <v>253.69313366420326</v>
      </c>
      <c r="S155">
        <f t="shared" si="64"/>
        <v>252.04544130023842</v>
      </c>
      <c r="T155">
        <f t="shared" si="64"/>
        <v>254.51697984618559</v>
      </c>
      <c r="U155">
        <f t="shared" si="64"/>
        <v>221.66611333963766</v>
      </c>
      <c r="V155">
        <f t="shared" si="64"/>
        <v>254.1050567551944</v>
      </c>
      <c r="W155">
        <f t="shared" si="64"/>
        <v>249.98582584528242</v>
      </c>
      <c r="X155">
        <f t="shared" si="64"/>
        <v>250.80967202726484</v>
      </c>
      <c r="Y155">
        <f t="shared" si="64"/>
        <v>232.47909447815655</v>
      </c>
      <c r="Z155">
        <f t="shared" si="64"/>
        <v>252.86928748222081</v>
      </c>
    </row>
    <row r="156" spans="2:26" x14ac:dyDescent="0.25">
      <c r="B156">
        <v>16.37</v>
      </c>
      <c r="C156">
        <f t="shared" ref="C156:Z156" si="65">(((($AC79-EXP(52.57-6690.9/(273.15+$AE79)-4.681*LN(273.15+$AE79)))/1013)*C79/100*0.2095*(48.998-1.335*$AE79+0.02755*POWER($AE79,2)-0.000322*POWER($AE79,3)+0.000001598*POWER($AE79,4))*32/22.414))*31.25</f>
        <v>252.45736439122962</v>
      </c>
      <c r="D156">
        <f t="shared" si="65"/>
        <v>252.04544130023842</v>
      </c>
      <c r="E156">
        <f t="shared" si="65"/>
        <v>234.51296473992562</v>
      </c>
      <c r="F156">
        <f t="shared" si="65"/>
        <v>209.77183408726688</v>
      </c>
      <c r="G156">
        <f t="shared" si="65"/>
        <v>235.72298881971224</v>
      </c>
      <c r="H156">
        <f t="shared" si="65"/>
        <v>254.51697984618559</v>
      </c>
      <c r="I156">
        <f t="shared" si="65"/>
        <v>250.39774893627364</v>
      </c>
      <c r="J156">
        <f t="shared" si="65"/>
        <v>255.34082602816798</v>
      </c>
      <c r="K156">
        <f t="shared" si="65"/>
        <v>250.39774893627364</v>
      </c>
      <c r="L156">
        <f t="shared" si="65"/>
        <v>251.63351820924723</v>
      </c>
      <c r="M156">
        <f t="shared" si="65"/>
        <v>222.46421432843309</v>
      </c>
      <c r="N156">
        <f t="shared" si="65"/>
        <v>253.28121057321195</v>
      </c>
      <c r="O156">
        <f t="shared" si="65"/>
        <v>252.04544130023842</v>
      </c>
      <c r="P156">
        <f t="shared" si="65"/>
        <v>256.60234049432853</v>
      </c>
      <c r="Q156">
        <f t="shared" si="65"/>
        <v>248.3638786745046</v>
      </c>
      <c r="R156">
        <f t="shared" si="65"/>
        <v>252.04544130023842</v>
      </c>
      <c r="S156">
        <f t="shared" si="65"/>
        <v>252.04544130023842</v>
      </c>
      <c r="T156">
        <f t="shared" si="65"/>
        <v>253.69313366420326</v>
      </c>
      <c r="U156">
        <f t="shared" si="65"/>
        <v>221.25419024864649</v>
      </c>
      <c r="V156">
        <f t="shared" si="65"/>
        <v>253.69313366420326</v>
      </c>
      <c r="W156">
        <f t="shared" si="65"/>
        <v>248.3638786745046</v>
      </c>
      <c r="X156">
        <f t="shared" si="65"/>
        <v>252.04544130023842</v>
      </c>
      <c r="Y156">
        <f t="shared" si="65"/>
        <v>232.47909447815655</v>
      </c>
      <c r="Z156">
        <f t="shared" si="65"/>
        <v>253.28121057321195</v>
      </c>
    </row>
    <row r="157" spans="2:26" x14ac:dyDescent="0.25">
      <c r="B157">
        <v>16.62</v>
      </c>
      <c r="C157">
        <f t="shared" ref="C157:Z157" si="66">(((($AC80-EXP(52.57-6690.9/(273.15+$AE80)-4.681*LN(273.15+$AE80)))/1013)*C80/100*0.2095*(48.998-1.335*$AE80+0.02755*POWER($AE80,2)-0.000322*POWER($AE80,3)+0.000001598*POWER($AE80,4))*32/22.414))*31.25</f>
        <v>252.45736439122962</v>
      </c>
      <c r="D157">
        <f t="shared" si="66"/>
        <v>251.63351820924723</v>
      </c>
      <c r="E157">
        <f t="shared" si="66"/>
        <v>233.68911855794317</v>
      </c>
      <c r="F157">
        <f t="shared" si="66"/>
        <v>209.38565618946265</v>
      </c>
      <c r="G157">
        <f t="shared" si="66"/>
        <v>235.72298881971224</v>
      </c>
      <c r="H157">
        <f t="shared" si="66"/>
        <v>254.51697984618559</v>
      </c>
      <c r="I157">
        <f t="shared" si="66"/>
        <v>250.80967202726484</v>
      </c>
      <c r="J157">
        <f t="shared" si="66"/>
        <v>254.51697984618559</v>
      </c>
      <c r="K157">
        <f t="shared" si="66"/>
        <v>249.57390275429128</v>
      </c>
      <c r="L157">
        <f t="shared" si="66"/>
        <v>250.80967202726484</v>
      </c>
      <c r="M157">
        <f t="shared" si="66"/>
        <v>222.05229123744195</v>
      </c>
      <c r="N157">
        <f t="shared" si="66"/>
        <v>253.69313366420326</v>
      </c>
      <c r="O157">
        <f t="shared" si="66"/>
        <v>252.04544130023842</v>
      </c>
      <c r="P157">
        <f t="shared" si="66"/>
        <v>255.75274911915918</v>
      </c>
      <c r="Q157">
        <f t="shared" si="66"/>
        <v>248.3638786745046</v>
      </c>
      <c r="R157">
        <f t="shared" si="66"/>
        <v>252.04544130023842</v>
      </c>
      <c r="S157">
        <f t="shared" si="66"/>
        <v>251.22159511825603</v>
      </c>
      <c r="T157">
        <f t="shared" si="66"/>
        <v>253.69313366420326</v>
      </c>
      <c r="U157">
        <f t="shared" si="66"/>
        <v>220.86801235084221</v>
      </c>
      <c r="V157">
        <f t="shared" si="66"/>
        <v>253.69313366420326</v>
      </c>
      <c r="W157">
        <f t="shared" si="66"/>
        <v>248.3638786745046</v>
      </c>
      <c r="X157">
        <f t="shared" si="66"/>
        <v>251.22159511825603</v>
      </c>
      <c r="Y157">
        <f t="shared" si="66"/>
        <v>232.09291658035232</v>
      </c>
      <c r="Z157">
        <f t="shared" si="66"/>
        <v>252.45736439122962</v>
      </c>
    </row>
    <row r="158" spans="2:26" x14ac:dyDescent="0.25">
      <c r="B158">
        <v>16.87</v>
      </c>
      <c r="C158">
        <f>(((($AC81-EXP(52.57-6690.9/(273.15+$AE81)-4.681*LN(273.15+$AE81)))/1013)*C81/100*0.2095*(48.998-1.335*$AE81+0.02755*POWER($AE81,2)-0.000322*POWER($AE81,3)+0.000001598*POWER($AE81,4))*32/22.414))*31.25</f>
        <v>252.45736439122962</v>
      </c>
      <c r="D158">
        <f t="shared" ref="D158:Z158" si="67">(((($AC81-EXP(52.57-6690.9/(273.15+$AE81)-4.681*LN(273.15+$AE81)))/1013)*D81/100*0.2095*(48.998-1.335*$AE81+0.02755*POWER($AE81,2)-0.000322*POWER($AE81,3)+0.000001598*POWER($AE81,4))*32/22.414))*31.25</f>
        <v>251.63351820924723</v>
      </c>
      <c r="E158">
        <f t="shared" si="67"/>
        <v>233.30294066013894</v>
      </c>
      <c r="F158">
        <f t="shared" si="67"/>
        <v>208.61330039385413</v>
      </c>
      <c r="G158">
        <f t="shared" si="67"/>
        <v>235.72298881971224</v>
      </c>
      <c r="H158">
        <f t="shared" si="67"/>
        <v>254.1050567551944</v>
      </c>
      <c r="I158">
        <f t="shared" si="67"/>
        <v>249.98582584528242</v>
      </c>
      <c r="J158">
        <f t="shared" si="67"/>
        <v>254.92890293717679</v>
      </c>
      <c r="K158">
        <f t="shared" si="67"/>
        <v>249.1619796633</v>
      </c>
      <c r="L158">
        <f t="shared" si="67"/>
        <v>251.22159511825603</v>
      </c>
      <c r="M158">
        <f t="shared" si="67"/>
        <v>222.46421432843309</v>
      </c>
      <c r="N158">
        <f t="shared" si="67"/>
        <v>253.69313366420326</v>
      </c>
      <c r="O158">
        <f t="shared" si="67"/>
        <v>251.63351820924723</v>
      </c>
      <c r="P158">
        <f t="shared" si="67"/>
        <v>255.34082602816798</v>
      </c>
      <c r="Q158">
        <f t="shared" si="67"/>
        <v>247.95195558351344</v>
      </c>
      <c r="R158">
        <f t="shared" si="67"/>
        <v>252.86928748222081</v>
      </c>
      <c r="S158">
        <f t="shared" si="67"/>
        <v>252.45736439122962</v>
      </c>
      <c r="T158">
        <f t="shared" si="67"/>
        <v>254.1050567551944</v>
      </c>
      <c r="U158">
        <f t="shared" si="67"/>
        <v>221.66611333963766</v>
      </c>
      <c r="V158">
        <f t="shared" si="67"/>
        <v>252.86928748222081</v>
      </c>
      <c r="W158">
        <f t="shared" si="67"/>
        <v>248.75005657230884</v>
      </c>
      <c r="X158">
        <f t="shared" si="67"/>
        <v>250.80967202726484</v>
      </c>
      <c r="Y158">
        <f t="shared" si="67"/>
        <v>232.47909447815655</v>
      </c>
      <c r="Z158">
        <f t="shared" si="67"/>
        <v>252.45736439122962</v>
      </c>
    </row>
    <row r="159" spans="2:26" x14ac:dyDescent="0.25">
      <c r="B159">
        <v>17.12</v>
      </c>
      <c r="C159">
        <f t="shared" ref="C159:Z159" si="68">(((($AC82-EXP(52.57-6690.9/(273.15+$AE82)-4.681*LN(273.15+$AE82)))/1013)*C82/100*0.2095*(48.998-1.335*$AE82+0.02755*POWER($AE82,2)-0.000322*POWER($AE82,3)+0.000001598*POWER($AE82,4))*32/22.414))*31.25</f>
        <v>252.45736439122962</v>
      </c>
      <c r="D159">
        <f t="shared" si="68"/>
        <v>250.80967202726484</v>
      </c>
      <c r="E159">
        <f t="shared" si="68"/>
        <v>233.68911855794317</v>
      </c>
      <c r="F159">
        <f t="shared" si="68"/>
        <v>208.61330039385413</v>
      </c>
      <c r="G159">
        <f t="shared" si="68"/>
        <v>235.72298881971224</v>
      </c>
      <c r="H159">
        <f t="shared" si="68"/>
        <v>254.51697984618559</v>
      </c>
      <c r="I159">
        <f t="shared" si="68"/>
        <v>249.98582584528242</v>
      </c>
      <c r="J159">
        <f t="shared" si="68"/>
        <v>254.92890293717679</v>
      </c>
      <c r="K159">
        <f t="shared" si="68"/>
        <v>249.98582584528242</v>
      </c>
      <c r="L159">
        <f t="shared" si="68"/>
        <v>251.22159511825603</v>
      </c>
      <c r="M159">
        <f t="shared" si="68"/>
        <v>222.05229123744195</v>
      </c>
      <c r="N159">
        <f t="shared" si="68"/>
        <v>253.69313366420326</v>
      </c>
      <c r="O159">
        <f t="shared" si="68"/>
        <v>251.63351820924723</v>
      </c>
      <c r="P159">
        <f t="shared" si="68"/>
        <v>255.34082602816798</v>
      </c>
      <c r="Q159">
        <f t="shared" si="68"/>
        <v>248.3638786745046</v>
      </c>
      <c r="R159">
        <f t="shared" si="68"/>
        <v>252.04544130023842</v>
      </c>
      <c r="S159">
        <f t="shared" si="68"/>
        <v>251.63351820924723</v>
      </c>
      <c r="T159">
        <f t="shared" si="68"/>
        <v>254.1050567551944</v>
      </c>
      <c r="U159">
        <f t="shared" si="68"/>
        <v>220.86801235084221</v>
      </c>
      <c r="V159">
        <f t="shared" si="68"/>
        <v>253.28121057321195</v>
      </c>
      <c r="W159">
        <f t="shared" si="68"/>
        <v>248.75005657230884</v>
      </c>
      <c r="X159">
        <f t="shared" si="68"/>
        <v>252.04544130023842</v>
      </c>
      <c r="Y159">
        <f t="shared" si="68"/>
        <v>232.47909447815655</v>
      </c>
      <c r="Z159">
        <f t="shared" si="68"/>
        <v>253.28121057321195</v>
      </c>
    </row>
    <row r="160" spans="2:26" x14ac:dyDescent="0.25">
      <c r="B160">
        <v>17.37</v>
      </c>
      <c r="C160">
        <f t="shared" ref="C160:Z160" si="69">(((($AC83-EXP(52.57-6690.9/(273.15+$AE83)-4.681*LN(273.15+$AE83)))/1013)*C83/100*0.2095*(48.998-1.335*$AE83+0.02755*POWER($AE83,2)-0.000322*POWER($AE83,3)+0.000001598*POWER($AE83,4))*32/22.414))*31.25</f>
        <v>252.45736439122962</v>
      </c>
      <c r="D160">
        <f t="shared" si="69"/>
        <v>251.63351820924723</v>
      </c>
      <c r="E160">
        <f t="shared" si="69"/>
        <v>233.68911855794317</v>
      </c>
      <c r="F160">
        <f t="shared" si="69"/>
        <v>208.61330039385413</v>
      </c>
      <c r="G160">
        <f t="shared" si="69"/>
        <v>234.89914263772985</v>
      </c>
      <c r="H160">
        <f t="shared" si="69"/>
        <v>253.69313366420326</v>
      </c>
      <c r="I160">
        <f t="shared" si="69"/>
        <v>250.80967202726484</v>
      </c>
      <c r="J160">
        <f t="shared" si="69"/>
        <v>254.92890293717679</v>
      </c>
      <c r="K160">
        <f t="shared" si="69"/>
        <v>250.39774893627364</v>
      </c>
      <c r="L160">
        <f t="shared" si="69"/>
        <v>250.80967202726484</v>
      </c>
      <c r="M160">
        <f t="shared" si="69"/>
        <v>222.05229123744195</v>
      </c>
      <c r="N160">
        <f t="shared" si="69"/>
        <v>253.69313366420326</v>
      </c>
      <c r="O160">
        <f t="shared" si="69"/>
        <v>252.04544130023842</v>
      </c>
      <c r="P160">
        <f t="shared" si="69"/>
        <v>254.92890293717679</v>
      </c>
      <c r="Q160">
        <f t="shared" si="69"/>
        <v>247.54003249252222</v>
      </c>
      <c r="R160">
        <f t="shared" si="69"/>
        <v>252.45736439122962</v>
      </c>
      <c r="S160">
        <f t="shared" si="69"/>
        <v>251.63351820924723</v>
      </c>
      <c r="T160">
        <f t="shared" si="69"/>
        <v>254.1050567551944</v>
      </c>
      <c r="U160">
        <f t="shared" si="69"/>
        <v>221.66611333963766</v>
      </c>
      <c r="V160">
        <f t="shared" si="69"/>
        <v>253.69313366420326</v>
      </c>
      <c r="W160">
        <f t="shared" si="69"/>
        <v>248.75005657230884</v>
      </c>
      <c r="X160">
        <f t="shared" si="69"/>
        <v>251.63351820924723</v>
      </c>
      <c r="Y160">
        <f t="shared" si="69"/>
        <v>232.47909447815655</v>
      </c>
      <c r="Z160">
        <f t="shared" si="69"/>
        <v>252.45736439122962</v>
      </c>
    </row>
    <row r="161" spans="2:29" x14ac:dyDescent="0.25">
      <c r="B161">
        <v>17.63</v>
      </c>
      <c r="C161">
        <f t="shared" ref="C161:Z161" si="70">(((($AC84-EXP(52.57-6690.9/(273.15+$AE84)-4.681*LN(273.15+$AE84)))/1013)*C84/100*0.2095*(48.998-1.335*$AE84+0.02755*POWER($AE84,2)-0.000322*POWER($AE84,3)+0.000001598*POWER($AE84,4))*32/22.414))*31.25</f>
        <v>252.36105058775073</v>
      </c>
      <c r="D161">
        <f t="shared" si="70"/>
        <v>251.53751870739094</v>
      </c>
      <c r="E161">
        <f t="shared" si="70"/>
        <v>233.59996493830442</v>
      </c>
      <c r="F161">
        <f t="shared" si="70"/>
        <v>208.12194738967369</v>
      </c>
      <c r="G161">
        <f t="shared" si="70"/>
        <v>235.22129332776277</v>
      </c>
      <c r="H161">
        <f t="shared" si="70"/>
        <v>254.41988028865015</v>
      </c>
      <c r="I161">
        <f t="shared" si="70"/>
        <v>250.30222088685127</v>
      </c>
      <c r="J161">
        <f t="shared" si="70"/>
        <v>254.8316462288301</v>
      </c>
      <c r="K161">
        <f t="shared" si="70"/>
        <v>249.47868900649144</v>
      </c>
      <c r="L161">
        <f t="shared" si="70"/>
        <v>251.125752767211</v>
      </c>
      <c r="M161">
        <f t="shared" si="70"/>
        <v>221.9675771282225</v>
      </c>
      <c r="N161">
        <f t="shared" si="70"/>
        <v>252.77281652793053</v>
      </c>
      <c r="O161">
        <f t="shared" si="70"/>
        <v>251.125752767211</v>
      </c>
      <c r="P161">
        <f t="shared" si="70"/>
        <v>255.24341216900999</v>
      </c>
      <c r="Q161">
        <f t="shared" si="70"/>
        <v>247.85736061703315</v>
      </c>
      <c r="R161">
        <f t="shared" si="70"/>
        <v>252.77281652793053</v>
      </c>
      <c r="S161">
        <f t="shared" si="70"/>
        <v>251.94928464757083</v>
      </c>
      <c r="T161">
        <f t="shared" si="70"/>
        <v>254.00811434847031</v>
      </c>
      <c r="U161">
        <f t="shared" si="70"/>
        <v>221.169780619124</v>
      </c>
      <c r="V161">
        <f t="shared" si="70"/>
        <v>254.00811434847031</v>
      </c>
      <c r="W161">
        <f t="shared" si="70"/>
        <v>249.06692306631163</v>
      </c>
      <c r="X161">
        <f t="shared" si="70"/>
        <v>251.125752767211</v>
      </c>
      <c r="Y161">
        <f t="shared" si="70"/>
        <v>232.39040248902597</v>
      </c>
      <c r="Z161">
        <f t="shared" si="70"/>
        <v>252.77281652793053</v>
      </c>
    </row>
    <row r="162" spans="2:29" x14ac:dyDescent="0.25">
      <c r="B162">
        <v>17.88</v>
      </c>
      <c r="C162">
        <f t="shared" ref="C162:Z162" si="71">(((($AC85-EXP(52.57-6690.9/(273.15+$AE85)-4.681*LN(273.15+$AE85)))/1013)*C85/100*0.2095*(48.998-1.335*$AE85+0.02755*POWER($AE85,2)-0.000322*POWER($AE85,3)+0.000001598*POWER($AE85,4))*32/22.414))*31.25</f>
        <v>252.04544130023842</v>
      </c>
      <c r="D162">
        <f t="shared" si="71"/>
        <v>252.04544130023842</v>
      </c>
      <c r="E162">
        <f t="shared" si="71"/>
        <v>233.30294066013894</v>
      </c>
      <c r="F162">
        <f t="shared" si="71"/>
        <v>207.81519940505868</v>
      </c>
      <c r="G162">
        <f t="shared" si="71"/>
        <v>235.31106572872105</v>
      </c>
      <c r="H162">
        <f t="shared" si="71"/>
        <v>254.1050567551944</v>
      </c>
      <c r="I162">
        <f t="shared" si="71"/>
        <v>249.1619796633</v>
      </c>
      <c r="J162">
        <f t="shared" si="71"/>
        <v>254.51697984618559</v>
      </c>
      <c r="K162">
        <f t="shared" si="71"/>
        <v>250.39774893627364</v>
      </c>
      <c r="L162">
        <f t="shared" si="71"/>
        <v>250.80967202726484</v>
      </c>
      <c r="M162">
        <f t="shared" si="71"/>
        <v>220.86801235084221</v>
      </c>
      <c r="N162">
        <f t="shared" si="71"/>
        <v>253.28121057321195</v>
      </c>
      <c r="O162">
        <f t="shared" si="71"/>
        <v>251.63351820924723</v>
      </c>
      <c r="P162">
        <f t="shared" si="71"/>
        <v>255.75274911915918</v>
      </c>
      <c r="Q162">
        <f t="shared" si="71"/>
        <v>248.3638786745046</v>
      </c>
      <c r="R162">
        <f t="shared" si="71"/>
        <v>252.86928748222081</v>
      </c>
      <c r="S162">
        <f t="shared" si="71"/>
        <v>250.80967202726484</v>
      </c>
      <c r="T162">
        <f t="shared" si="71"/>
        <v>253.28121057321195</v>
      </c>
      <c r="U162">
        <f t="shared" si="71"/>
        <v>220.45608925985104</v>
      </c>
      <c r="V162">
        <f t="shared" si="71"/>
        <v>253.28121057321195</v>
      </c>
      <c r="W162">
        <f t="shared" si="71"/>
        <v>248.75005657230884</v>
      </c>
      <c r="X162">
        <f t="shared" si="71"/>
        <v>251.22159511825603</v>
      </c>
      <c r="Y162">
        <f t="shared" si="71"/>
        <v>231.68099348936107</v>
      </c>
      <c r="Z162">
        <f t="shared" si="71"/>
        <v>252.45736439122962</v>
      </c>
    </row>
    <row r="163" spans="2:29" x14ac:dyDescent="0.25">
      <c r="B163">
        <v>18.13</v>
      </c>
      <c r="C163">
        <f t="shared" ref="C163:Z163" si="72">(((($AC86-EXP(52.57-6690.9/(273.15+$AE86)-4.681*LN(273.15+$AE86)))/1013)*C86/100*0.2095*(48.998-1.335*$AE86+0.02755*POWER($AE86,2)-0.000322*POWER($AE86,3)+0.000001598*POWER($AE86,4))*32/22.414))*31.25</f>
        <v>252.86928748222081</v>
      </c>
      <c r="D163">
        <f t="shared" si="72"/>
        <v>251.22159511825603</v>
      </c>
      <c r="E163">
        <f t="shared" si="72"/>
        <v>234.10104164893443</v>
      </c>
      <c r="F163">
        <f t="shared" si="72"/>
        <v>208.20137730286288</v>
      </c>
      <c r="G163">
        <f t="shared" si="72"/>
        <v>235.72298881971224</v>
      </c>
      <c r="H163">
        <f t="shared" si="72"/>
        <v>254.51697984618559</v>
      </c>
      <c r="I163">
        <f t="shared" si="72"/>
        <v>250.39774893627364</v>
      </c>
      <c r="J163">
        <f t="shared" si="72"/>
        <v>254.92890293717679</v>
      </c>
      <c r="K163">
        <f t="shared" si="72"/>
        <v>250.39774893627364</v>
      </c>
      <c r="L163">
        <f t="shared" si="72"/>
        <v>250.80967202726484</v>
      </c>
      <c r="M163">
        <f t="shared" si="72"/>
        <v>222.05229123744195</v>
      </c>
      <c r="N163">
        <f t="shared" si="72"/>
        <v>253.28121057321195</v>
      </c>
      <c r="O163">
        <f t="shared" si="72"/>
        <v>251.63351820924723</v>
      </c>
      <c r="P163">
        <f t="shared" si="72"/>
        <v>256.19041740333734</v>
      </c>
      <c r="Q163">
        <f t="shared" si="72"/>
        <v>248.3638786745046</v>
      </c>
      <c r="R163">
        <f t="shared" si="72"/>
        <v>252.86928748222081</v>
      </c>
      <c r="S163">
        <f t="shared" si="72"/>
        <v>252.04544130023842</v>
      </c>
      <c r="T163">
        <f t="shared" si="72"/>
        <v>253.69313366420326</v>
      </c>
      <c r="U163">
        <f t="shared" si="72"/>
        <v>221.25419024864649</v>
      </c>
      <c r="V163">
        <f t="shared" si="72"/>
        <v>253.28121057321195</v>
      </c>
      <c r="W163">
        <f t="shared" si="72"/>
        <v>249.1619796633</v>
      </c>
      <c r="X163">
        <f t="shared" si="72"/>
        <v>252.04544130023842</v>
      </c>
      <c r="Y163">
        <f t="shared" si="72"/>
        <v>232.47909447815655</v>
      </c>
      <c r="Z163">
        <f t="shared" si="72"/>
        <v>252.86928748222081</v>
      </c>
    </row>
    <row r="164" spans="2:29" x14ac:dyDescent="0.25">
      <c r="B164">
        <v>18.38</v>
      </c>
      <c r="C164">
        <f t="shared" ref="C164:Z164" si="73">(((($AC87-EXP(52.57-6690.9/(273.15+$AE87)-4.681*LN(273.15+$AE87)))/1013)*C87/100*0.2095*(48.998-1.335*$AE87+0.02755*POWER($AE87,2)-0.000322*POWER($AE87,3)+0.000001598*POWER($AE87,4))*32/22.414))*31.25</f>
        <v>252.86928748222081</v>
      </c>
      <c r="D164">
        <f t="shared" si="73"/>
        <v>251.22159511825603</v>
      </c>
      <c r="E164">
        <f t="shared" si="73"/>
        <v>233.30294066013894</v>
      </c>
      <c r="F164">
        <f t="shared" si="73"/>
        <v>208.99947829165839</v>
      </c>
      <c r="G164">
        <f t="shared" si="73"/>
        <v>235.72298881971224</v>
      </c>
      <c r="H164">
        <f t="shared" si="73"/>
        <v>254.1050567551944</v>
      </c>
      <c r="I164">
        <f t="shared" si="73"/>
        <v>249.98582584528242</v>
      </c>
      <c r="J164">
        <f t="shared" si="73"/>
        <v>255.75274911915918</v>
      </c>
      <c r="K164">
        <f t="shared" si="73"/>
        <v>249.1619796633</v>
      </c>
      <c r="L164">
        <f t="shared" si="73"/>
        <v>251.22159511825603</v>
      </c>
      <c r="M164">
        <f t="shared" si="73"/>
        <v>220.86801235084221</v>
      </c>
      <c r="N164">
        <f t="shared" si="73"/>
        <v>253.28121057321195</v>
      </c>
      <c r="O164">
        <f t="shared" si="73"/>
        <v>252.45736439122962</v>
      </c>
      <c r="P164">
        <f t="shared" si="73"/>
        <v>256.19041740333734</v>
      </c>
      <c r="Q164">
        <f t="shared" si="73"/>
        <v>247.95195558351344</v>
      </c>
      <c r="R164">
        <f t="shared" si="73"/>
        <v>252.86928748222081</v>
      </c>
      <c r="S164">
        <f t="shared" si="73"/>
        <v>251.63351820924723</v>
      </c>
      <c r="T164">
        <f t="shared" si="73"/>
        <v>254.1050567551944</v>
      </c>
      <c r="U164">
        <f t="shared" si="73"/>
        <v>220.86801235084221</v>
      </c>
      <c r="V164">
        <f t="shared" si="73"/>
        <v>254.51697984618559</v>
      </c>
      <c r="W164">
        <f t="shared" si="73"/>
        <v>248.75005657230884</v>
      </c>
      <c r="X164">
        <f t="shared" si="73"/>
        <v>250.39774893627364</v>
      </c>
      <c r="Y164">
        <f t="shared" si="73"/>
        <v>231.26907039836993</v>
      </c>
      <c r="Z164">
        <f t="shared" si="73"/>
        <v>253.69313366420326</v>
      </c>
    </row>
    <row r="165" spans="2:29" x14ac:dyDescent="0.25">
      <c r="B165">
        <v>18.63</v>
      </c>
      <c r="C165">
        <f t="shared" ref="C165:Z165" si="74">(((($AC88-EXP(52.57-6690.9/(273.15+$AE88)-4.681*LN(273.15+$AE88)))/1013)*C88/100*0.2095*(48.998-1.335*$AE88+0.02755*POWER($AE88,2)-0.000322*POWER($AE88,3)+0.000001598*POWER($AE88,4))*32/22.414))*31.25</f>
        <v>252.04544130023842</v>
      </c>
      <c r="D165">
        <f t="shared" si="74"/>
        <v>252.04544130023842</v>
      </c>
      <c r="E165">
        <f t="shared" si="74"/>
        <v>232.89101756914775</v>
      </c>
      <c r="F165">
        <f t="shared" si="74"/>
        <v>208.20137730286288</v>
      </c>
      <c r="G165">
        <f t="shared" si="74"/>
        <v>235.31106572872105</v>
      </c>
      <c r="H165">
        <f t="shared" si="74"/>
        <v>254.51697984618559</v>
      </c>
      <c r="I165">
        <f t="shared" si="74"/>
        <v>250.80967202726484</v>
      </c>
      <c r="J165">
        <f t="shared" si="74"/>
        <v>256.19041740333734</v>
      </c>
      <c r="K165">
        <f t="shared" si="74"/>
        <v>250.39774893627364</v>
      </c>
      <c r="L165">
        <f t="shared" si="74"/>
        <v>250.39774893627364</v>
      </c>
      <c r="M165">
        <f t="shared" si="74"/>
        <v>221.25419024864649</v>
      </c>
      <c r="N165">
        <f t="shared" si="74"/>
        <v>253.69313366420326</v>
      </c>
      <c r="O165">
        <f t="shared" si="74"/>
        <v>251.63351820924723</v>
      </c>
      <c r="P165">
        <f t="shared" si="74"/>
        <v>256.60234049432853</v>
      </c>
      <c r="Q165">
        <f t="shared" si="74"/>
        <v>248.3638786745046</v>
      </c>
      <c r="R165">
        <f t="shared" si="74"/>
        <v>252.86928748222081</v>
      </c>
      <c r="S165">
        <f t="shared" si="74"/>
        <v>252.04544130023842</v>
      </c>
      <c r="T165">
        <f t="shared" si="74"/>
        <v>253.69313366420326</v>
      </c>
      <c r="U165">
        <f t="shared" si="74"/>
        <v>220.86801235084221</v>
      </c>
      <c r="V165">
        <f t="shared" si="74"/>
        <v>253.69313366420326</v>
      </c>
      <c r="W165">
        <f t="shared" si="74"/>
        <v>248.3638786745046</v>
      </c>
      <c r="X165">
        <f t="shared" si="74"/>
        <v>251.22159511825603</v>
      </c>
      <c r="Y165">
        <f t="shared" si="74"/>
        <v>231.68099348936107</v>
      </c>
      <c r="Z165">
        <f t="shared" si="74"/>
        <v>252.04544130023842</v>
      </c>
    </row>
    <row r="167" spans="2:29" ht="15.75" thickBot="1" x14ac:dyDescent="0.3"/>
    <row r="168" spans="2:29" ht="39.75" thickBot="1" x14ac:dyDescent="0.3">
      <c r="C168" s="1" t="s">
        <v>134</v>
      </c>
      <c r="D168" s="2" t="s">
        <v>135</v>
      </c>
      <c r="E168" s="3" t="s">
        <v>136</v>
      </c>
      <c r="F168" s="4" t="s">
        <v>137</v>
      </c>
      <c r="G168" s="1" t="s">
        <v>138</v>
      </c>
      <c r="H168" s="2" t="s">
        <v>139</v>
      </c>
      <c r="I168" s="3" t="s">
        <v>140</v>
      </c>
      <c r="J168" s="5" t="s">
        <v>141</v>
      </c>
      <c r="K168" s="6" t="s">
        <v>142</v>
      </c>
      <c r="L168" s="2" t="s">
        <v>143</v>
      </c>
      <c r="M168" s="3" t="s">
        <v>144</v>
      </c>
      <c r="N168" s="5" t="s">
        <v>145</v>
      </c>
      <c r="O168" s="7" t="s">
        <v>146</v>
      </c>
      <c r="P168" s="2" t="s">
        <v>147</v>
      </c>
      <c r="Q168" s="4" t="s">
        <v>148</v>
      </c>
      <c r="R168" s="5" t="s">
        <v>149</v>
      </c>
      <c r="S168" s="7" t="s">
        <v>150</v>
      </c>
      <c r="T168" s="6" t="s">
        <v>142</v>
      </c>
      <c r="U168" s="4" t="s">
        <v>151</v>
      </c>
      <c r="V168" s="6" t="s">
        <v>142</v>
      </c>
      <c r="W168" s="7" t="s">
        <v>152</v>
      </c>
      <c r="X168" s="3" t="s">
        <v>136</v>
      </c>
      <c r="Y168" s="4" t="s">
        <v>153</v>
      </c>
      <c r="Z168" s="6" t="s">
        <v>142</v>
      </c>
      <c r="AC168" t="s">
        <v>157</v>
      </c>
    </row>
    <row r="169" spans="2:29" x14ac:dyDescent="0.25">
      <c r="B169" t="s">
        <v>154</v>
      </c>
      <c r="C169">
        <f>SLOPE(C91:C165,$B$91:$B$165)</f>
        <v>-4.7275009483537508E-2</v>
      </c>
      <c r="D169">
        <f t="shared" ref="D169:Z169" si="75">SLOPE(D91:D165,$B$91:$B$165)</f>
        <v>-6.7047153288601433E-2</v>
      </c>
      <c r="E169">
        <f t="shared" si="75"/>
        <v>-0.56707612682244246</v>
      </c>
      <c r="F169">
        <f t="shared" si="75"/>
        <v>-1.3653043514362175</v>
      </c>
      <c r="G169">
        <f t="shared" si="75"/>
        <v>-0.12055528242220827</v>
      </c>
      <c r="H169">
        <f t="shared" si="75"/>
        <v>-7.6720979271109199E-2</v>
      </c>
      <c r="I169">
        <f t="shared" si="75"/>
        <v>-0.23589755519230271</v>
      </c>
      <c r="J169">
        <f t="shared" si="75"/>
        <v>-0.11504833195964494</v>
      </c>
      <c r="K169">
        <f t="shared" si="75"/>
        <v>-1.2503331936977553E-3</v>
      </c>
      <c r="L169">
        <f t="shared" si="75"/>
        <v>-0.14343911004699927</v>
      </c>
      <c r="M169">
        <f t="shared" si="75"/>
        <v>-0.97860687898888854</v>
      </c>
      <c r="N169">
        <f t="shared" si="75"/>
        <v>-0.13232054052867248</v>
      </c>
      <c r="O169">
        <f t="shared" si="75"/>
        <v>-9.9711663244861859E-2</v>
      </c>
      <c r="P169">
        <f t="shared" si="75"/>
        <v>-0.13475328537226985</v>
      </c>
      <c r="Q169">
        <f t="shared" si="75"/>
        <v>-0.25024644337996704</v>
      </c>
      <c r="R169">
        <f t="shared" si="75"/>
        <v>-0.16311718156540295</v>
      </c>
      <c r="S169">
        <f t="shared" si="75"/>
        <v>-5.7611917312359547E-2</v>
      </c>
      <c r="T169">
        <f t="shared" si="75"/>
        <v>-4.030697215745805E-2</v>
      </c>
      <c r="U169">
        <f t="shared" si="75"/>
        <v>-0.51188702132587116</v>
      </c>
      <c r="V169">
        <f t="shared" si="75"/>
        <v>-9.2447383523487386E-2</v>
      </c>
      <c r="W169">
        <f t="shared" si="75"/>
        <v>-0.1137138764871158</v>
      </c>
      <c r="X169">
        <f t="shared" si="75"/>
        <v>-0.10670443047449039</v>
      </c>
      <c r="Y169">
        <f t="shared" si="75"/>
        <v>-0.49568753802739146</v>
      </c>
      <c r="Z169">
        <f t="shared" si="75"/>
        <v>-0.12080114160452173</v>
      </c>
      <c r="AC169">
        <f>AVERAGE(K169,T169,V169,Z169)</f>
        <v>-6.3701457619791235E-2</v>
      </c>
    </row>
    <row r="170" spans="2:29" x14ac:dyDescent="0.25">
      <c r="B170" t="s">
        <v>155</v>
      </c>
      <c r="C170">
        <f>C169*-1</f>
        <v>4.7275009483537508E-2</v>
      </c>
      <c r="D170">
        <f t="shared" ref="D170:Z170" si="76">D169*-1</f>
        <v>6.7047153288601433E-2</v>
      </c>
      <c r="E170">
        <f t="shared" si="76"/>
        <v>0.56707612682244246</v>
      </c>
      <c r="F170">
        <f t="shared" si="76"/>
        <v>1.3653043514362175</v>
      </c>
      <c r="G170">
        <f t="shared" si="76"/>
        <v>0.12055528242220827</v>
      </c>
      <c r="H170">
        <f t="shared" si="76"/>
        <v>7.6720979271109199E-2</v>
      </c>
      <c r="I170">
        <f t="shared" si="76"/>
        <v>0.23589755519230271</v>
      </c>
      <c r="J170">
        <f t="shared" si="76"/>
        <v>0.11504833195964494</v>
      </c>
      <c r="K170">
        <f t="shared" si="76"/>
        <v>1.2503331936977553E-3</v>
      </c>
      <c r="L170">
        <f t="shared" si="76"/>
        <v>0.14343911004699927</v>
      </c>
      <c r="M170">
        <f t="shared" si="76"/>
        <v>0.97860687898888854</v>
      </c>
      <c r="N170">
        <f t="shared" si="76"/>
        <v>0.13232054052867248</v>
      </c>
      <c r="O170">
        <f t="shared" si="76"/>
        <v>9.9711663244861859E-2</v>
      </c>
      <c r="P170">
        <f t="shared" si="76"/>
        <v>0.13475328537226985</v>
      </c>
      <c r="Q170">
        <f t="shared" si="76"/>
        <v>0.25024644337996704</v>
      </c>
      <c r="R170">
        <f t="shared" si="76"/>
        <v>0.16311718156540295</v>
      </c>
      <c r="S170">
        <f t="shared" si="76"/>
        <v>5.7611917312359547E-2</v>
      </c>
      <c r="T170">
        <f t="shared" si="76"/>
        <v>4.030697215745805E-2</v>
      </c>
      <c r="U170">
        <f t="shared" si="76"/>
        <v>0.51188702132587116</v>
      </c>
      <c r="V170">
        <f t="shared" si="76"/>
        <v>9.2447383523487386E-2</v>
      </c>
      <c r="W170">
        <f t="shared" si="76"/>
        <v>0.1137138764871158</v>
      </c>
      <c r="X170">
        <f t="shared" si="76"/>
        <v>0.10670443047449039</v>
      </c>
      <c r="Y170">
        <f t="shared" si="76"/>
        <v>0.49568753802739146</v>
      </c>
      <c r="Z170">
        <f t="shared" si="76"/>
        <v>0.12080114160452173</v>
      </c>
    </row>
    <row r="171" spans="2:29" x14ac:dyDescent="0.25">
      <c r="B171" t="s">
        <v>156</v>
      </c>
      <c r="C171">
        <f>C170-$AC$169</f>
        <v>0.11097646710332874</v>
      </c>
      <c r="D171">
        <f>D170-$AC$169</f>
        <v>0.13074861090839268</v>
      </c>
      <c r="E171">
        <f>E170-$AC$169</f>
        <v>0.63077758444223364</v>
      </c>
      <c r="F171">
        <f>F170-$AC$169</f>
        <v>1.4290058090560087</v>
      </c>
      <c r="G171">
        <f>G170-$AC$169</f>
        <v>0.18425674004199949</v>
      </c>
      <c r="H171">
        <f>H170-$AC$169</f>
        <v>0.14042243689090045</v>
      </c>
      <c r="I171">
        <f>I170-$AC$169</f>
        <v>0.29959901281209395</v>
      </c>
      <c r="J171">
        <f>J170-$AC$169</f>
        <v>0.17874978957943616</v>
      </c>
      <c r="K171">
        <f>K170-$AC$169</f>
        <v>6.4951790813488994E-2</v>
      </c>
      <c r="L171">
        <f>L170-$AC$169</f>
        <v>0.20714056766679051</v>
      </c>
      <c r="M171">
        <f>M170-$AC$169</f>
        <v>1.0423083366086798</v>
      </c>
      <c r="N171">
        <f>N170-$AC$169</f>
        <v>0.19602199814846372</v>
      </c>
      <c r="O171">
        <f>O170-$AC$169</f>
        <v>0.16341312086465309</v>
      </c>
      <c r="P171">
        <f>P170-$AC$169</f>
        <v>0.19845474299206109</v>
      </c>
      <c r="Q171">
        <f>Q170-$AC$169</f>
        <v>0.31394790099975828</v>
      </c>
      <c r="R171">
        <f>R170-$AC$169</f>
        <v>0.22681863918519418</v>
      </c>
      <c r="S171">
        <f>S170-$AC$169</f>
        <v>0.12131337493215077</v>
      </c>
      <c r="T171">
        <f>T170-$AC$169</f>
        <v>0.10400842977724928</v>
      </c>
      <c r="U171">
        <f>U170-$AC$169</f>
        <v>0.57558847894566245</v>
      </c>
      <c r="V171">
        <f>V170-$AC$169</f>
        <v>0.15614884114327862</v>
      </c>
      <c r="W171">
        <f>W170-$AC$169</f>
        <v>0.17741533410690702</v>
      </c>
      <c r="X171">
        <f>X170-$AC$169</f>
        <v>0.17040588809428164</v>
      </c>
      <c r="Y171">
        <f>Y170-$AC$169</f>
        <v>0.5593889956471827</v>
      </c>
      <c r="Z171">
        <f>Z170-$AC$169</f>
        <v>0.18450259922431295</v>
      </c>
    </row>
    <row r="173" spans="2:29" x14ac:dyDescent="0.25">
      <c r="C173">
        <v>0.11097646710332874</v>
      </c>
      <c r="D173">
        <v>0.13074861090839268</v>
      </c>
      <c r="E173">
        <v>0.63077758444223364</v>
      </c>
      <c r="F173">
        <v>1.4290058090560087</v>
      </c>
      <c r="G173">
        <v>0.18425674004199949</v>
      </c>
      <c r="H173">
        <v>0.14042243689090045</v>
      </c>
      <c r="I173">
        <v>0.29959901281209395</v>
      </c>
      <c r="J173">
        <v>0.17874978957943616</v>
      </c>
      <c r="K173">
        <v>6.4951790813488994E-2</v>
      </c>
      <c r="L173">
        <v>0.20714056766679051</v>
      </c>
      <c r="M173">
        <v>1.0423083366086798</v>
      </c>
      <c r="N173">
        <v>0.19602199814846372</v>
      </c>
      <c r="O173">
        <v>0.16341312086465309</v>
      </c>
      <c r="P173">
        <v>0.19845474299206109</v>
      </c>
      <c r="Q173">
        <v>0.31394790099975828</v>
      </c>
      <c r="R173">
        <v>0.22681863918519418</v>
      </c>
      <c r="S173">
        <v>0.12131337493215077</v>
      </c>
      <c r="T173">
        <v>0.10400842977724928</v>
      </c>
      <c r="U173">
        <v>0.57558847894566245</v>
      </c>
      <c r="V173">
        <v>0.15614884114327862</v>
      </c>
      <c r="W173">
        <v>0.17741533410690702</v>
      </c>
      <c r="X173">
        <v>0.17040588809428164</v>
      </c>
      <c r="Y173">
        <v>0.5593889956471827</v>
      </c>
      <c r="Z173">
        <v>0.18450259922431295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67330-4045-4AFB-B9DF-17169DABD887}">
  <sheetPr codeName="Sheet2"/>
  <dimension ref="A1"/>
  <sheetViews>
    <sheetView rightToLeft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Oxygen Orginal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Liel Uziahu</cp:lastModifiedBy>
  <dcterms:created xsi:type="dcterms:W3CDTF">2025-04-08T08:32:23Z</dcterms:created>
  <dcterms:modified xsi:type="dcterms:W3CDTF">2025-04-19T16:49:38Z</dcterms:modified>
</cp:coreProperties>
</file>