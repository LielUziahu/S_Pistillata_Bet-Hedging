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Shared drives\CSMS_CBP_MassLab\Liel Uziahu\Stylophora pistillata\Physiology\Resperation\2025\14052025\"/>
    </mc:Choice>
  </mc:AlternateContent>
  <xr:revisionPtr revIDLastSave="0" documentId="13_ncr:1_{253E8553-D81A-41DF-BDB4-D0D8CA8DBEDC}" xr6:coauthVersionLast="47" xr6:coauthVersionMax="47" xr10:uidLastSave="{00000000-0000-0000-0000-000000000000}"/>
  <bookViews>
    <workbookView xWindow="-28920" yWindow="528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2" i="1"/>
  <c r="B3" i="1" l="1"/>
  <c r="C3" i="1"/>
  <c r="D3" i="1"/>
  <c r="B4" i="1"/>
  <c r="C4" i="1"/>
  <c r="D4" i="1"/>
  <c r="B5" i="1"/>
  <c r="C5" i="1"/>
  <c r="D5" i="1"/>
  <c r="B6" i="1"/>
  <c r="C6" i="1"/>
  <c r="D6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56" i="1"/>
  <c r="C56" i="1"/>
  <c r="D56" i="1"/>
  <c r="B57" i="1"/>
  <c r="C57" i="1"/>
  <c r="D57" i="1"/>
  <c r="B58" i="1"/>
  <c r="C58" i="1"/>
  <c r="D58" i="1"/>
  <c r="B59" i="1"/>
  <c r="C59" i="1"/>
  <c r="D59" i="1"/>
  <c r="B60" i="1"/>
  <c r="C60" i="1"/>
  <c r="D60" i="1"/>
  <c r="B61" i="1"/>
  <c r="C61" i="1"/>
  <c r="D61" i="1"/>
  <c r="B62" i="1"/>
  <c r="C62" i="1"/>
  <c r="D62" i="1"/>
  <c r="B63" i="1"/>
  <c r="C63" i="1"/>
  <c r="D63" i="1"/>
  <c r="B64" i="1"/>
  <c r="C64" i="1"/>
  <c r="D64" i="1"/>
  <c r="B65" i="1"/>
  <c r="C65" i="1"/>
  <c r="D65" i="1"/>
  <c r="B66" i="1"/>
  <c r="C66" i="1"/>
  <c r="D66" i="1"/>
  <c r="B67" i="1"/>
  <c r="C67" i="1"/>
  <c r="D67" i="1"/>
  <c r="B68" i="1"/>
  <c r="C68" i="1"/>
  <c r="D68" i="1"/>
  <c r="B69" i="1"/>
  <c r="C69" i="1"/>
  <c r="D69" i="1"/>
  <c r="B70" i="1"/>
  <c r="C70" i="1"/>
  <c r="D70" i="1"/>
  <c r="D2" i="1"/>
  <c r="C2" i="1"/>
  <c r="B2" i="1"/>
</calcChain>
</file>

<file path=xl/sharedStrings.xml><?xml version="1.0" encoding="utf-8"?>
<sst xmlns="http://schemas.openxmlformats.org/spreadsheetml/2006/main" count="218" uniqueCount="77">
  <si>
    <t>SampleName</t>
  </si>
  <si>
    <t>plate</t>
  </si>
  <si>
    <t>Varient</t>
  </si>
  <si>
    <t>Treatment</t>
  </si>
  <si>
    <t>rate umol/L/min</t>
  </si>
  <si>
    <t>area mm^2</t>
  </si>
  <si>
    <t>rate nmol/mm^2/min</t>
  </si>
  <si>
    <t>plateA_HF_7.8_1</t>
  </si>
  <si>
    <t>plateA_HF_7.8_2</t>
  </si>
  <si>
    <t>plateA_HF_7.8_3</t>
  </si>
  <si>
    <t>plateA_HF_7.8_4</t>
  </si>
  <si>
    <t>plateA_HF_7.8_5</t>
  </si>
  <si>
    <t>plateA_HF_7.8_6</t>
  </si>
  <si>
    <t>plateA_HF_7.8_7</t>
  </si>
  <si>
    <t>plateA_HF_7.8_8</t>
  </si>
  <si>
    <t>plateA_HF_7.8_9</t>
  </si>
  <si>
    <t>plateA_HF_7.8_10</t>
  </si>
  <si>
    <t>plateA_HF_7.8_11</t>
  </si>
  <si>
    <t>plateA_HF_7.8_12</t>
  </si>
  <si>
    <t>plateA_HF_7.8_13</t>
  </si>
  <si>
    <t>plateA_HF_7.8_14</t>
  </si>
  <si>
    <t>plateA_NF_7.8_1</t>
  </si>
  <si>
    <t>plateA_NF_7.8_2</t>
  </si>
  <si>
    <t>plateA_NF_7.8_3</t>
  </si>
  <si>
    <t>plateA_NF_7.8_4</t>
  </si>
  <si>
    <t>plateA_NF_7.8_5</t>
  </si>
  <si>
    <t>plateA_NF_7.8_6</t>
  </si>
  <si>
    <t>plateB_HF_7.6_1</t>
  </si>
  <si>
    <t>plateB_HF_7.6_2</t>
  </si>
  <si>
    <t>plateB_HF_7.6_3</t>
  </si>
  <si>
    <t>plateB_HF_7.6_4</t>
  </si>
  <si>
    <t>plateB_HF_7.6_5</t>
  </si>
  <si>
    <t>plateB_HF_7.6_6</t>
  </si>
  <si>
    <t>plateB_HF_7.6_7</t>
  </si>
  <si>
    <t>plateB_HF_7.6_8</t>
  </si>
  <si>
    <t>plateB_HF_7.6_9</t>
  </si>
  <si>
    <t>plateB_HF_7.6_10</t>
  </si>
  <si>
    <t>plateB_HF_7.6_11</t>
  </si>
  <si>
    <t>plateB_HF_7.6_12</t>
  </si>
  <si>
    <t>plateB_NF_7.6_3</t>
  </si>
  <si>
    <t>plateB_NF_7.8_1</t>
  </si>
  <si>
    <t>plateB_NF_7.8_2</t>
  </si>
  <si>
    <t>plateB_NF_7.8_3</t>
  </si>
  <si>
    <t>plateC_HF_8.2_1</t>
  </si>
  <si>
    <t>plateC_HF_8.2_2</t>
  </si>
  <si>
    <t>plateC_HF_8.2_3</t>
  </si>
  <si>
    <t>plateC_HF_8.2_4</t>
  </si>
  <si>
    <t>plateC_HF_8.2_5</t>
  </si>
  <si>
    <t>plateC_HF_8.2_6</t>
  </si>
  <si>
    <t>plateC_HF_8.2_7</t>
  </si>
  <si>
    <t>plateC_HF_8.2_8</t>
  </si>
  <si>
    <t>plateC_HF_8.2_10</t>
  </si>
  <si>
    <t>plateC_HF_8.2_11</t>
  </si>
  <si>
    <t>plateC_HF_8.2_12</t>
  </si>
  <si>
    <t>plateC_HF_8.2_13</t>
  </si>
  <si>
    <t>plateC_HF_8.2_14</t>
  </si>
  <si>
    <t>plateC_NF_7.6_1</t>
  </si>
  <si>
    <t>plateC_NF_7.6_2</t>
  </si>
  <si>
    <t>plateC_NF_7.6_3</t>
  </si>
  <si>
    <t>plateC_NF_7.6_4</t>
  </si>
  <si>
    <t>plateD_NF_8.2_1</t>
  </si>
  <si>
    <t>plateD_NF_8.2_2</t>
  </si>
  <si>
    <t>plateD_NF_8.2_3</t>
  </si>
  <si>
    <t>plateD_NF_8.2_4</t>
  </si>
  <si>
    <t>plateD_NF_8.2_5</t>
  </si>
  <si>
    <t>plateD_NF_8.2_6</t>
  </si>
  <si>
    <t>plateD_NF_8.2_7</t>
  </si>
  <si>
    <t>plateD_NF_8.2_8</t>
  </si>
  <si>
    <t>plateD_NF_8.2_9</t>
  </si>
  <si>
    <t>plateD_NF_8.2_10</t>
  </si>
  <si>
    <t>plateB_HF_7.6_13</t>
  </si>
  <si>
    <t>plateB_HF_7.6_14</t>
  </si>
  <si>
    <t>plateB_NF_7.6_1</t>
  </si>
  <si>
    <t>plateB_NF_7.6_2</t>
  </si>
  <si>
    <t>plateC_HF_8.2_9</t>
  </si>
  <si>
    <t>Spat_ID</t>
  </si>
  <si>
    <t>Rate in umol/L/min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</si>
</sst>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1"/>
  <sheetViews>
    <sheetView tabSelected="1" topLeftCell="A38" workbookViewId="0">
      <selection activeCell="E2" sqref="E2:E70"/>
    </sheetView>
  </sheetViews>
  <sheetFormatPr defaultRowHeight="15" x14ac:dyDescent="0.25"/>
  <cols>
    <col min="1" max="1" width="17" bestFit="1" customWidth="1"/>
    <col min="4" max="4" width="12.42578125" customWidth="1"/>
    <col min="5" max="5" width="18" customWidth="1"/>
    <col min="6" max="6" width="14.7109375" customWidth="1"/>
    <col min="7" max="7" width="22.140625" customWidth="1"/>
    <col min="9" max="9" width="27.5703125" customWidth="1"/>
    <col min="17" max="17" width="9.140625" customWidth="1"/>
    <col min="18" max="18" width="18.28515625" customWidth="1"/>
  </cols>
  <sheetData>
    <row r="1" spans="1:1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 ht="15.75" thickBot="1" x14ac:dyDescent="0.3">
      <c r="A2" s="2" t="s">
        <v>7</v>
      </c>
      <c r="B2" t="str">
        <f t="shared" ref="B2:B65" si="0">MID(A2,1,6)</f>
        <v>plateA</v>
      </c>
      <c r="C2" t="str">
        <f t="shared" ref="C2" si="1">MID(A2,8,2)</f>
        <v>HF</v>
      </c>
      <c r="D2" t="str">
        <f t="shared" ref="D2" si="2">MID(A2,11,3)</f>
        <v>7.8</v>
      </c>
      <c r="E2">
        <f>VLOOKUP(A2,$R$2:$S$71,2,FALSE)</f>
        <v>1.5115268540459044</v>
      </c>
      <c r="F2">
        <v>4.9160000000000004</v>
      </c>
      <c r="R2" s="2" t="s">
        <v>7</v>
      </c>
      <c r="S2" s="3">
        <v>1.5115268540459044</v>
      </c>
    </row>
    <row r="3" spans="1:19" ht="15.75" thickBot="1" x14ac:dyDescent="0.3">
      <c r="A3" s="2" t="s">
        <v>8</v>
      </c>
      <c r="B3" t="str">
        <f t="shared" si="0"/>
        <v>plateA</v>
      </c>
      <c r="C3" t="str">
        <f t="shared" ref="C3:C66" si="3">MID(A3,8,2)</f>
        <v>HF</v>
      </c>
      <c r="D3" t="str">
        <f t="shared" ref="D3:D66" si="4">MID(A3,11,3)</f>
        <v>7.8</v>
      </c>
      <c r="E3">
        <f>VLOOKUP(A3,$R$2:$S$71,2,FALSE)</f>
        <v>0.58761871668826793</v>
      </c>
      <c r="F3">
        <v>2.9380000000000002</v>
      </c>
      <c r="R3" s="2" t="s">
        <v>16</v>
      </c>
      <c r="S3" s="3">
        <v>0.94166993654970432</v>
      </c>
    </row>
    <row r="4" spans="1:19" ht="15.75" thickBot="1" x14ac:dyDescent="0.3">
      <c r="A4" s="2" t="s">
        <v>9</v>
      </c>
      <c r="B4" t="str">
        <f t="shared" si="0"/>
        <v>plateA</v>
      </c>
      <c r="C4" t="str">
        <f t="shared" si="3"/>
        <v>HF</v>
      </c>
      <c r="D4" t="str">
        <f t="shared" si="4"/>
        <v>7.8</v>
      </c>
      <c r="E4">
        <f>VLOOKUP(A4,$R$2:$S$71,2,FALSE)</f>
        <v>1.1319043985635908</v>
      </c>
      <c r="F4">
        <v>2.1059999999999999</v>
      </c>
      <c r="R4" s="2" t="s">
        <v>17</v>
      </c>
      <c r="S4" s="3">
        <v>1.9549511261575603</v>
      </c>
    </row>
    <row r="5" spans="1:19" ht="15.75" thickBot="1" x14ac:dyDescent="0.3">
      <c r="A5" s="2" t="s">
        <v>10</v>
      </c>
      <c r="B5" t="str">
        <f t="shared" si="0"/>
        <v>plateA</v>
      </c>
      <c r="C5" t="str">
        <f t="shared" si="3"/>
        <v>HF</v>
      </c>
      <c r="D5" t="str">
        <f t="shared" si="4"/>
        <v>7.8</v>
      </c>
      <c r="E5">
        <f>VLOOKUP(A5,$R$2:$S$71,2,FALSE)</f>
        <v>1.5866505990604862</v>
      </c>
      <c r="F5">
        <v>3.2360000000000002</v>
      </c>
      <c r="R5" s="2" t="s">
        <v>18</v>
      </c>
      <c r="S5" s="3">
        <v>2.6313413661049734</v>
      </c>
    </row>
    <row r="6" spans="1:19" ht="15.75" thickBot="1" x14ac:dyDescent="0.3">
      <c r="A6" s="2" t="s">
        <v>11</v>
      </c>
      <c r="B6" t="str">
        <f t="shared" si="0"/>
        <v>plateA</v>
      </c>
      <c r="C6" t="str">
        <f t="shared" si="3"/>
        <v>HF</v>
      </c>
      <c r="D6" t="str">
        <f t="shared" si="4"/>
        <v>7.8</v>
      </c>
      <c r="E6">
        <f>VLOOKUP(A6,$R$2:$S$71,2,FALSE)</f>
        <v>1.4234452946689151</v>
      </c>
      <c r="F6">
        <v>1.619</v>
      </c>
      <c r="R6" s="2" t="s">
        <v>19</v>
      </c>
      <c r="S6" s="3">
        <v>1.2885373099024853</v>
      </c>
    </row>
    <row r="7" spans="1:19" ht="15.75" thickBot="1" x14ac:dyDescent="0.3">
      <c r="A7" s="2" t="s">
        <v>12</v>
      </c>
      <c r="B7" t="str">
        <f t="shared" si="0"/>
        <v>plateA</v>
      </c>
      <c r="C7" t="str">
        <f t="shared" si="3"/>
        <v>HF</v>
      </c>
      <c r="D7" t="str">
        <f t="shared" si="4"/>
        <v>7.8</v>
      </c>
      <c r="E7">
        <f>VLOOKUP(A7,$R$2:$S$71,2,FALSE)</f>
        <v>0.36614199046641516</v>
      </c>
      <c r="F7">
        <v>1.2969999999999999</v>
      </c>
      <c r="R7" s="2" t="s">
        <v>20</v>
      </c>
      <c r="S7" s="3">
        <v>1.2071820279410479</v>
      </c>
    </row>
    <row r="8" spans="1:19" ht="15.75" thickBot="1" x14ac:dyDescent="0.3">
      <c r="A8" s="2" t="s">
        <v>13</v>
      </c>
      <c r="B8" t="str">
        <f t="shared" si="0"/>
        <v>plateA</v>
      </c>
      <c r="C8" t="str">
        <f t="shared" si="3"/>
        <v>HF</v>
      </c>
      <c r="D8" t="str">
        <f t="shared" si="4"/>
        <v>7.8</v>
      </c>
      <c r="E8">
        <f>VLOOKUP(A8,$R$2:$S$71,2,FALSE)</f>
        <v>5.7983545563563006E-2</v>
      </c>
      <c r="F8">
        <v>2.109</v>
      </c>
      <c r="R8" s="2" t="s">
        <v>8</v>
      </c>
      <c r="S8" s="3">
        <v>0.58761871668826793</v>
      </c>
    </row>
    <row r="9" spans="1:19" ht="15.75" thickBot="1" x14ac:dyDescent="0.3">
      <c r="A9" s="2" t="s">
        <v>14</v>
      </c>
      <c r="B9" t="str">
        <f t="shared" si="0"/>
        <v>plateA</v>
      </c>
      <c r="C9" t="str">
        <f t="shared" si="3"/>
        <v>HF</v>
      </c>
      <c r="D9" t="str">
        <f t="shared" si="4"/>
        <v>7.8</v>
      </c>
      <c r="E9">
        <f>VLOOKUP(A9,$R$2:$S$71,2,FALSE)</f>
        <v>1.2196049927332806</v>
      </c>
      <c r="F9">
        <v>2.0169999999999999</v>
      </c>
      <c r="R9" s="2" t="s">
        <v>9</v>
      </c>
      <c r="S9" s="3">
        <v>1.1319043985635908</v>
      </c>
    </row>
    <row r="10" spans="1:19" ht="15.75" thickBot="1" x14ac:dyDescent="0.3">
      <c r="A10" s="2" t="s">
        <v>15</v>
      </c>
      <c r="B10" t="str">
        <f t="shared" si="0"/>
        <v>plateA</v>
      </c>
      <c r="C10" t="str">
        <f t="shared" si="3"/>
        <v>HF</v>
      </c>
      <c r="D10" t="str">
        <f t="shared" si="4"/>
        <v>7.8</v>
      </c>
      <c r="E10">
        <f>VLOOKUP(A10,$R$2:$S$71,2,FALSE)</f>
        <v>2.2089850828445114</v>
      </c>
      <c r="F10">
        <v>1.651</v>
      </c>
      <c r="R10" s="2" t="s">
        <v>10</v>
      </c>
      <c r="S10" s="3">
        <v>1.5866505990604862</v>
      </c>
    </row>
    <row r="11" spans="1:19" ht="15.75" thickBot="1" x14ac:dyDescent="0.3">
      <c r="A11" s="2" t="s">
        <v>16</v>
      </c>
      <c r="B11" t="str">
        <f t="shared" si="0"/>
        <v>plateA</v>
      </c>
      <c r="C11" t="str">
        <f t="shared" si="3"/>
        <v>HF</v>
      </c>
      <c r="D11" t="str">
        <f t="shared" si="4"/>
        <v>7.8</v>
      </c>
      <c r="E11">
        <f>VLOOKUP(A11,$R$2:$S$71,2,FALSE)</f>
        <v>0.94166993654970432</v>
      </c>
      <c r="F11">
        <v>1.4550000000000001</v>
      </c>
      <c r="R11" s="2" t="s">
        <v>11</v>
      </c>
      <c r="S11" s="3">
        <v>1.4234452946689151</v>
      </c>
    </row>
    <row r="12" spans="1:19" ht="15.75" thickBot="1" x14ac:dyDescent="0.3">
      <c r="A12" s="2" t="s">
        <v>17</v>
      </c>
      <c r="B12" t="str">
        <f t="shared" si="0"/>
        <v>plateA</v>
      </c>
      <c r="C12" t="str">
        <f t="shared" si="3"/>
        <v>HF</v>
      </c>
      <c r="D12" t="str">
        <f t="shared" si="4"/>
        <v>7.8</v>
      </c>
      <c r="E12">
        <f>VLOOKUP(A12,$R$2:$S$71,2,FALSE)</f>
        <v>1.9549511261575603</v>
      </c>
      <c r="F12">
        <v>1.5780000000000001</v>
      </c>
      <c r="R12" s="2" t="s">
        <v>12</v>
      </c>
      <c r="S12" s="3">
        <v>0.36614199046641516</v>
      </c>
    </row>
    <row r="13" spans="1:19" ht="15.75" thickBot="1" x14ac:dyDescent="0.3">
      <c r="A13" s="2" t="s">
        <v>18</v>
      </c>
      <c r="B13" t="str">
        <f t="shared" si="0"/>
        <v>plateA</v>
      </c>
      <c r="C13" t="str">
        <f t="shared" si="3"/>
        <v>HF</v>
      </c>
      <c r="D13" t="str">
        <f t="shared" si="4"/>
        <v>7.8</v>
      </c>
      <c r="E13">
        <f>VLOOKUP(A13,$R$2:$S$71,2,FALSE)</f>
        <v>2.6313413661049734</v>
      </c>
      <c r="F13">
        <v>1.115</v>
      </c>
      <c r="R13" s="2" t="s">
        <v>13</v>
      </c>
      <c r="S13" s="3">
        <v>5.7983545563563006E-2</v>
      </c>
    </row>
    <row r="14" spans="1:19" ht="15.75" thickBot="1" x14ac:dyDescent="0.3">
      <c r="A14" s="2" t="s">
        <v>19</v>
      </c>
      <c r="B14" t="str">
        <f t="shared" si="0"/>
        <v>plateA</v>
      </c>
      <c r="C14" t="str">
        <f t="shared" si="3"/>
        <v>HF</v>
      </c>
      <c r="D14" t="str">
        <f t="shared" si="4"/>
        <v>7.8</v>
      </c>
      <c r="E14">
        <f>VLOOKUP(A14,$R$2:$S$71,2,FALSE)</f>
        <v>1.2885373099024853</v>
      </c>
      <c r="F14">
        <v>1.6679999999999999</v>
      </c>
      <c r="R14" s="2" t="s">
        <v>14</v>
      </c>
      <c r="S14" s="3">
        <v>1.2196049927332806</v>
      </c>
    </row>
    <row r="15" spans="1:19" ht="15.75" thickBot="1" x14ac:dyDescent="0.3">
      <c r="A15" s="2" t="s">
        <v>20</v>
      </c>
      <c r="B15" t="str">
        <f t="shared" si="0"/>
        <v>plateA</v>
      </c>
      <c r="C15" t="str">
        <f t="shared" si="3"/>
        <v>HF</v>
      </c>
      <c r="D15" t="str">
        <f t="shared" si="4"/>
        <v>7.8</v>
      </c>
      <c r="E15">
        <f>VLOOKUP(A15,$R$2:$S$71,2,FALSE)</f>
        <v>1.2071820279410479</v>
      </c>
      <c r="F15">
        <v>1.6220000000000001</v>
      </c>
      <c r="R15" s="2" t="s">
        <v>15</v>
      </c>
      <c r="S15" s="3">
        <v>2.2089850828445114</v>
      </c>
    </row>
    <row r="16" spans="1:19" ht="15.75" thickBot="1" x14ac:dyDescent="0.3">
      <c r="A16" s="2" t="s">
        <v>21</v>
      </c>
      <c r="B16" t="str">
        <f t="shared" si="0"/>
        <v>plateA</v>
      </c>
      <c r="C16" t="str">
        <f t="shared" si="3"/>
        <v>NF</v>
      </c>
      <c r="D16" t="str">
        <f t="shared" si="4"/>
        <v>7.8</v>
      </c>
      <c r="E16">
        <f>VLOOKUP(A16,$R$2:$S$71,2,FALSE)</f>
        <v>3.9400072824833368</v>
      </c>
      <c r="F16">
        <v>4.3099999999999996</v>
      </c>
      <c r="R16" s="2" t="s">
        <v>21</v>
      </c>
      <c r="S16" s="3">
        <v>3.9400072824833368</v>
      </c>
    </row>
    <row r="17" spans="1:19" ht="15.75" thickBot="1" x14ac:dyDescent="0.3">
      <c r="A17" s="2" t="s">
        <v>22</v>
      </c>
      <c r="B17" t="str">
        <f t="shared" si="0"/>
        <v>plateA</v>
      </c>
      <c r="C17" t="str">
        <f t="shared" si="3"/>
        <v>NF</v>
      </c>
      <c r="D17" t="str">
        <f t="shared" si="4"/>
        <v>7.8</v>
      </c>
      <c r="E17">
        <f>VLOOKUP(A17,$R$2:$S$71,2,FALSE)</f>
        <v>1.8259680113588268</v>
      </c>
      <c r="F17">
        <v>1.411</v>
      </c>
      <c r="R17" s="2" t="s">
        <v>22</v>
      </c>
      <c r="S17" s="3">
        <v>1.8259680113588268</v>
      </c>
    </row>
    <row r="18" spans="1:19" ht="15.75" thickBot="1" x14ac:dyDescent="0.3">
      <c r="A18" s="2" t="s">
        <v>23</v>
      </c>
      <c r="B18" t="str">
        <f t="shared" si="0"/>
        <v>plateA</v>
      </c>
      <c r="C18" t="str">
        <f t="shared" si="3"/>
        <v>NF</v>
      </c>
      <c r="D18" t="str">
        <f t="shared" si="4"/>
        <v>7.8</v>
      </c>
      <c r="E18">
        <f>VLOOKUP(A18,$R$2:$S$71,2,FALSE)</f>
        <v>1.0726226242274348</v>
      </c>
      <c r="F18">
        <v>3.4049999999999998</v>
      </c>
      <c r="R18" s="2" t="s">
        <v>23</v>
      </c>
      <c r="S18" s="3">
        <v>1.0726226242274348</v>
      </c>
    </row>
    <row r="19" spans="1:19" ht="15.75" thickBot="1" x14ac:dyDescent="0.3">
      <c r="A19" s="2" t="s">
        <v>24</v>
      </c>
      <c r="B19" t="str">
        <f t="shared" si="0"/>
        <v>plateA</v>
      </c>
      <c r="C19" t="str">
        <f t="shared" si="3"/>
        <v>NF</v>
      </c>
      <c r="D19" t="str">
        <f t="shared" si="4"/>
        <v>7.8</v>
      </c>
      <c r="E19">
        <f>VLOOKUP(A19,$R$2:$S$71,2,FALSE)</f>
        <v>3.9612673475252786</v>
      </c>
      <c r="F19">
        <v>1.944</v>
      </c>
      <c r="R19" s="2" t="s">
        <v>24</v>
      </c>
      <c r="S19" s="3">
        <v>3.9612673475252786</v>
      </c>
    </row>
    <row r="20" spans="1:19" ht="15.75" thickBot="1" x14ac:dyDescent="0.3">
      <c r="A20" s="2" t="s">
        <v>25</v>
      </c>
      <c r="B20" t="str">
        <f t="shared" si="0"/>
        <v>plateA</v>
      </c>
      <c r="C20" t="str">
        <f t="shared" si="3"/>
        <v>NF</v>
      </c>
      <c r="D20" t="str">
        <f t="shared" si="4"/>
        <v>7.8</v>
      </c>
      <c r="E20">
        <f>VLOOKUP(A20,$R$2:$S$71,2,FALSE)</f>
        <v>1.7699097795877492</v>
      </c>
      <c r="F20">
        <v>1.639</v>
      </c>
      <c r="R20" s="2" t="s">
        <v>25</v>
      </c>
      <c r="S20" s="3">
        <v>1.7699097795877492</v>
      </c>
    </row>
    <row r="21" spans="1:19" ht="15.75" thickBot="1" x14ac:dyDescent="0.3">
      <c r="A21" s="2" t="s">
        <v>26</v>
      </c>
      <c r="B21" t="str">
        <f t="shared" si="0"/>
        <v>plateA</v>
      </c>
      <c r="C21" t="str">
        <f t="shared" si="3"/>
        <v>NF</v>
      </c>
      <c r="D21" t="str">
        <f t="shared" si="4"/>
        <v>7.8</v>
      </c>
      <c r="E21">
        <f>VLOOKUP(A21,$R$2:$S$71,2,FALSE)</f>
        <v>1.9194331682866328</v>
      </c>
      <c r="F21">
        <v>1.552</v>
      </c>
      <c r="R21" s="2" t="s">
        <v>26</v>
      </c>
      <c r="S21" s="3">
        <v>1.9194331682866328</v>
      </c>
    </row>
    <row r="22" spans="1:19" ht="15.75" thickBot="1" x14ac:dyDescent="0.3">
      <c r="A22" s="2" t="s">
        <v>27</v>
      </c>
      <c r="B22" t="str">
        <f t="shared" si="0"/>
        <v>plateB</v>
      </c>
      <c r="C22" t="str">
        <f t="shared" si="3"/>
        <v>HF</v>
      </c>
      <c r="D22" t="str">
        <f t="shared" si="4"/>
        <v>7.6</v>
      </c>
      <c r="E22">
        <f>VLOOKUP(A22,$R$2:$S$71,2,FALSE)</f>
        <v>3.0471817485003285</v>
      </c>
      <c r="F22">
        <v>2.4940000000000002</v>
      </c>
      <c r="R22" s="2" t="s">
        <v>27</v>
      </c>
      <c r="S22">
        <v>3.0471817485003285</v>
      </c>
    </row>
    <row r="23" spans="1:19" ht="15.75" thickBot="1" x14ac:dyDescent="0.3">
      <c r="A23" s="2" t="s">
        <v>28</v>
      </c>
      <c r="B23" t="str">
        <f t="shared" si="0"/>
        <v>plateB</v>
      </c>
      <c r="C23" t="str">
        <f t="shared" si="3"/>
        <v>HF</v>
      </c>
      <c r="D23" t="str">
        <f t="shared" si="4"/>
        <v>7.6</v>
      </c>
      <c r="E23">
        <f>VLOOKUP(A23,$R$2:$S$71,2,FALSE)</f>
        <v>1.6662099547010738</v>
      </c>
      <c r="F23">
        <v>2.3980000000000001</v>
      </c>
      <c r="R23" s="2" t="s">
        <v>36</v>
      </c>
      <c r="S23">
        <v>4.154662763247801</v>
      </c>
    </row>
    <row r="24" spans="1:19" ht="15.75" thickBot="1" x14ac:dyDescent="0.3">
      <c r="A24" s="2" t="s">
        <v>29</v>
      </c>
      <c r="B24" t="str">
        <f t="shared" si="0"/>
        <v>plateB</v>
      </c>
      <c r="C24" t="str">
        <f t="shared" si="3"/>
        <v>HF</v>
      </c>
      <c r="D24" t="str">
        <f t="shared" si="4"/>
        <v>7.6</v>
      </c>
      <c r="E24">
        <f>VLOOKUP(A24,$R$2:$S$71,2,FALSE)</f>
        <v>1.2929700446636034</v>
      </c>
      <c r="F24">
        <v>2.0390000000000001</v>
      </c>
      <c r="R24" s="2" t="s">
        <v>37</v>
      </c>
      <c r="S24">
        <v>5.3745375308886576</v>
      </c>
    </row>
    <row r="25" spans="1:19" ht="15.75" thickBot="1" x14ac:dyDescent="0.3">
      <c r="A25" s="2" t="s">
        <v>30</v>
      </c>
      <c r="B25" t="str">
        <f t="shared" si="0"/>
        <v>plateB</v>
      </c>
      <c r="C25" t="str">
        <f t="shared" si="3"/>
        <v>HF</v>
      </c>
      <c r="D25" t="str">
        <f t="shared" si="4"/>
        <v>7.6</v>
      </c>
      <c r="E25">
        <f>VLOOKUP(A25,$R$2:$S$71,2,FALSE)</f>
        <v>3.0663147662235994</v>
      </c>
      <c r="F25">
        <v>1.4870000000000001</v>
      </c>
      <c r="R25" s="2" t="s">
        <v>38</v>
      </c>
      <c r="S25">
        <v>4.9204135781708569</v>
      </c>
    </row>
    <row r="26" spans="1:19" ht="15.75" thickBot="1" x14ac:dyDescent="0.3">
      <c r="A26" s="2" t="s">
        <v>31</v>
      </c>
      <c r="B26" t="str">
        <f t="shared" si="0"/>
        <v>plateB</v>
      </c>
      <c r="C26" t="str">
        <f t="shared" si="3"/>
        <v>HF</v>
      </c>
      <c r="D26" t="str">
        <f t="shared" si="4"/>
        <v>7.6</v>
      </c>
      <c r="E26">
        <f>VLOOKUP(A26,$R$2:$S$71,2,FALSE)</f>
        <v>5.4443047102485913</v>
      </c>
      <c r="F26">
        <v>2.7389999999999999</v>
      </c>
      <c r="R26" s="2" t="s">
        <v>70</v>
      </c>
      <c r="S26">
        <v>3.1964574616163128</v>
      </c>
    </row>
    <row r="27" spans="1:19" ht="15.75" thickBot="1" x14ac:dyDescent="0.3">
      <c r="A27" s="2" t="s">
        <v>32</v>
      </c>
      <c r="B27" t="str">
        <f t="shared" si="0"/>
        <v>plateB</v>
      </c>
      <c r="C27" t="str">
        <f t="shared" si="3"/>
        <v>HF</v>
      </c>
      <c r="D27" t="str">
        <f t="shared" si="4"/>
        <v>7.6</v>
      </c>
      <c r="E27">
        <f>VLOOKUP(A27,$R$2:$S$71,2,FALSE)</f>
        <v>2.508464739722216</v>
      </c>
      <c r="F27">
        <v>2.2909999999999999</v>
      </c>
      <c r="R27" s="2" t="s">
        <v>71</v>
      </c>
      <c r="S27">
        <v>4.4359406002507518</v>
      </c>
    </row>
    <row r="28" spans="1:19" ht="15.75" thickBot="1" x14ac:dyDescent="0.3">
      <c r="A28" s="2" t="s">
        <v>33</v>
      </c>
      <c r="B28" t="str">
        <f t="shared" si="0"/>
        <v>plateB</v>
      </c>
      <c r="C28" t="str">
        <f t="shared" si="3"/>
        <v>HF</v>
      </c>
      <c r="D28" t="str">
        <f t="shared" si="4"/>
        <v>7.6</v>
      </c>
      <c r="E28">
        <f>VLOOKUP(A28,$R$2:$S$71,2,FALSE)</f>
        <v>4.2118743158067291</v>
      </c>
      <c r="F28">
        <v>2.62</v>
      </c>
      <c r="R28" s="2" t="s">
        <v>28</v>
      </c>
      <c r="S28">
        <v>1.6662099547010738</v>
      </c>
    </row>
    <row r="29" spans="1:19" ht="15.75" thickBot="1" x14ac:dyDescent="0.3">
      <c r="A29" s="2" t="s">
        <v>34</v>
      </c>
      <c r="B29" t="str">
        <f t="shared" si="0"/>
        <v>plateB</v>
      </c>
      <c r="C29" t="str">
        <f t="shared" si="3"/>
        <v>HF</v>
      </c>
      <c r="D29" t="str">
        <f t="shared" si="4"/>
        <v>7.6</v>
      </c>
      <c r="E29">
        <f>VLOOKUP(A29,$R$2:$S$71,2,FALSE)</f>
        <v>6.0047755940485832</v>
      </c>
      <c r="F29">
        <v>3.1309999999999998</v>
      </c>
      <c r="R29" s="2" t="s">
        <v>29</v>
      </c>
      <c r="S29">
        <v>1.2929700446636034</v>
      </c>
    </row>
    <row r="30" spans="1:19" ht="15.75" thickBot="1" x14ac:dyDescent="0.3">
      <c r="A30" s="2" t="s">
        <v>35</v>
      </c>
      <c r="B30" t="str">
        <f t="shared" si="0"/>
        <v>plateB</v>
      </c>
      <c r="C30" t="str">
        <f t="shared" si="3"/>
        <v>HF</v>
      </c>
      <c r="D30" t="str">
        <f t="shared" si="4"/>
        <v>7.6</v>
      </c>
      <c r="E30">
        <f>VLOOKUP(A30,$R$2:$S$71,2,FALSE)</f>
        <v>3.8359431854128205</v>
      </c>
      <c r="F30">
        <v>2.1949999999999998</v>
      </c>
      <c r="R30" s="2" t="s">
        <v>30</v>
      </c>
      <c r="S30">
        <v>3.0663147662235994</v>
      </c>
    </row>
    <row r="31" spans="1:19" ht="15.75" thickBot="1" x14ac:dyDescent="0.3">
      <c r="A31" s="2" t="s">
        <v>36</v>
      </c>
      <c r="B31" t="str">
        <f t="shared" si="0"/>
        <v>plateB</v>
      </c>
      <c r="C31" t="str">
        <f t="shared" si="3"/>
        <v>HF</v>
      </c>
      <c r="D31" t="str">
        <f t="shared" si="4"/>
        <v>7.6</v>
      </c>
      <c r="E31">
        <f>VLOOKUP(A31,$R$2:$S$71,2,FALSE)</f>
        <v>4.154662763247801</v>
      </c>
      <c r="F31">
        <v>1.6279999999999999</v>
      </c>
      <c r="R31" s="2" t="s">
        <v>31</v>
      </c>
      <c r="S31">
        <v>5.4443047102485913</v>
      </c>
    </row>
    <row r="32" spans="1:19" ht="15.75" thickBot="1" x14ac:dyDescent="0.3">
      <c r="A32" s="2" t="s">
        <v>37</v>
      </c>
      <c r="B32" t="str">
        <f t="shared" si="0"/>
        <v>plateB</v>
      </c>
      <c r="C32" t="str">
        <f t="shared" si="3"/>
        <v>HF</v>
      </c>
      <c r="D32" t="str">
        <f t="shared" si="4"/>
        <v>7.6</v>
      </c>
      <c r="E32">
        <f>VLOOKUP(A32,$R$2:$S$71,2,FALSE)</f>
        <v>5.3745375308886576</v>
      </c>
      <c r="F32">
        <v>2.5</v>
      </c>
      <c r="R32" s="2" t="s">
        <v>32</v>
      </c>
      <c r="S32">
        <v>2.508464739722216</v>
      </c>
    </row>
    <row r="33" spans="1:19" ht="15.75" thickBot="1" x14ac:dyDescent="0.3">
      <c r="A33" s="2" t="s">
        <v>38</v>
      </c>
      <c r="B33" t="str">
        <f t="shared" si="0"/>
        <v>plateB</v>
      </c>
      <c r="C33" t="str">
        <f t="shared" si="3"/>
        <v>HF</v>
      </c>
      <c r="D33" t="str">
        <f t="shared" si="4"/>
        <v>7.6</v>
      </c>
      <c r="E33">
        <f>VLOOKUP(A33,$R$2:$S$71,2,FALSE)</f>
        <v>4.9204135781708569</v>
      </c>
      <c r="F33">
        <v>3.4380000000000002</v>
      </c>
      <c r="R33" s="2" t="s">
        <v>33</v>
      </c>
      <c r="S33">
        <v>4.2118743158067291</v>
      </c>
    </row>
    <row r="34" spans="1:19" ht="15.75" thickBot="1" x14ac:dyDescent="0.3">
      <c r="A34" s="2" t="s">
        <v>70</v>
      </c>
      <c r="B34" t="str">
        <f t="shared" si="0"/>
        <v>plateB</v>
      </c>
      <c r="C34" t="str">
        <f t="shared" si="3"/>
        <v>HF</v>
      </c>
      <c r="D34" t="str">
        <f t="shared" si="4"/>
        <v>7.6</v>
      </c>
      <c r="E34">
        <f>VLOOKUP(A34,$R$2:$S$71,2,FALSE)</f>
        <v>3.1964574616163128</v>
      </c>
      <c r="F34">
        <v>2.5350000000000001</v>
      </c>
      <c r="R34" s="2" t="s">
        <v>34</v>
      </c>
      <c r="S34">
        <v>6.0047755940485832</v>
      </c>
    </row>
    <row r="35" spans="1:19" ht="15.75" thickBot="1" x14ac:dyDescent="0.3">
      <c r="A35" s="2" t="s">
        <v>71</v>
      </c>
      <c r="B35" t="str">
        <f t="shared" si="0"/>
        <v>plateB</v>
      </c>
      <c r="C35" t="str">
        <f t="shared" si="3"/>
        <v>HF</v>
      </c>
      <c r="D35" t="str">
        <f t="shared" si="4"/>
        <v>7.6</v>
      </c>
      <c r="E35">
        <f>VLOOKUP(A35,$R$2:$S$71,2,FALSE)</f>
        <v>4.4359406002507518</v>
      </c>
      <c r="F35">
        <v>2.758</v>
      </c>
      <c r="R35" s="2" t="s">
        <v>35</v>
      </c>
      <c r="S35">
        <v>3.8359431854128205</v>
      </c>
    </row>
    <row r="36" spans="1:19" ht="15.75" thickBot="1" x14ac:dyDescent="0.3">
      <c r="A36" s="2" t="s">
        <v>72</v>
      </c>
      <c r="B36" t="str">
        <f t="shared" si="0"/>
        <v>plateB</v>
      </c>
      <c r="C36" t="str">
        <f t="shared" si="3"/>
        <v>NF</v>
      </c>
      <c r="D36" t="str">
        <f t="shared" si="4"/>
        <v>7.6</v>
      </c>
      <c r="E36">
        <f>VLOOKUP(A36,$R$2:$S$71,2,FALSE)</f>
        <v>5.8789291131344648</v>
      </c>
      <c r="F36">
        <v>2.73</v>
      </c>
      <c r="R36" s="2" t="s">
        <v>72</v>
      </c>
      <c r="S36">
        <v>5.8789291131344648</v>
      </c>
    </row>
    <row r="37" spans="1:19" ht="15.75" thickBot="1" x14ac:dyDescent="0.3">
      <c r="A37" s="2" t="s">
        <v>73</v>
      </c>
      <c r="B37" t="str">
        <f t="shared" si="0"/>
        <v>plateB</v>
      </c>
      <c r="C37" t="str">
        <f t="shared" si="3"/>
        <v>NF</v>
      </c>
      <c r="D37" t="str">
        <f t="shared" si="4"/>
        <v>7.6</v>
      </c>
      <c r="E37">
        <f>VLOOKUP(A37,$R$2:$S$71,2,FALSE)</f>
        <v>3.7963894976777386</v>
      </c>
      <c r="F37">
        <v>1.923</v>
      </c>
      <c r="R37" s="2" t="s">
        <v>73</v>
      </c>
      <c r="S37">
        <v>3.7963894976777386</v>
      </c>
    </row>
    <row r="38" spans="1:19" ht="15.75" thickBot="1" x14ac:dyDescent="0.3">
      <c r="A38" s="2" t="s">
        <v>39</v>
      </c>
      <c r="B38" t="str">
        <f t="shared" si="0"/>
        <v>plateB</v>
      </c>
      <c r="C38" t="str">
        <f t="shared" si="3"/>
        <v>NF</v>
      </c>
      <c r="D38" t="str">
        <f t="shared" si="4"/>
        <v>7.6</v>
      </c>
      <c r="E38">
        <f>VLOOKUP(A38,$R$2:$S$71,2,FALSE)</f>
        <v>2.3108291828199965</v>
      </c>
      <c r="F38">
        <v>2.887</v>
      </c>
      <c r="R38" s="2" t="s">
        <v>39</v>
      </c>
      <c r="S38">
        <v>2.3108291828199965</v>
      </c>
    </row>
    <row r="39" spans="1:19" ht="15.75" thickBot="1" x14ac:dyDescent="0.3">
      <c r="A39" s="2" t="s">
        <v>40</v>
      </c>
      <c r="B39" t="str">
        <f t="shared" si="0"/>
        <v>plateB</v>
      </c>
      <c r="C39" t="str">
        <f t="shared" si="3"/>
        <v>NF</v>
      </c>
      <c r="D39" t="str">
        <f t="shared" si="4"/>
        <v>7.8</v>
      </c>
      <c r="E39">
        <f>VLOOKUP(A39,$R$2:$S$71,2,FALSE)</f>
        <v>2.3009833528891166</v>
      </c>
      <c r="F39">
        <v>3.3959999999999999</v>
      </c>
      <c r="R39" s="2" t="s">
        <v>40</v>
      </c>
      <c r="S39">
        <v>2.3009833528891166</v>
      </c>
    </row>
    <row r="40" spans="1:19" ht="15.75" thickBot="1" x14ac:dyDescent="0.3">
      <c r="A40" s="2" t="s">
        <v>41</v>
      </c>
      <c r="B40" t="str">
        <f t="shared" si="0"/>
        <v>plateB</v>
      </c>
      <c r="C40" t="str">
        <f t="shared" si="3"/>
        <v>NF</v>
      </c>
      <c r="D40" t="str">
        <f t="shared" si="4"/>
        <v>7.8</v>
      </c>
      <c r="E40">
        <f>VLOOKUP(A40,$R$2:$S$71,2,FALSE)</f>
        <v>1.8829624796630207</v>
      </c>
      <c r="F40">
        <v>1.75</v>
      </c>
      <c r="R40" s="2" t="s">
        <v>41</v>
      </c>
      <c r="S40">
        <v>1.8829624796630207</v>
      </c>
    </row>
    <row r="41" spans="1:19" ht="15.75" thickBot="1" x14ac:dyDescent="0.3">
      <c r="A41" s="2" t="s">
        <v>42</v>
      </c>
      <c r="B41" t="str">
        <f t="shared" si="0"/>
        <v>plateB</v>
      </c>
      <c r="C41" t="str">
        <f t="shared" si="3"/>
        <v>NF</v>
      </c>
      <c r="D41" t="str">
        <f t="shared" si="4"/>
        <v>7.8</v>
      </c>
      <c r="E41">
        <f>VLOOKUP(A41,$R$2:$S$71,2,FALSE)</f>
        <v>3.1655916677921798</v>
      </c>
      <c r="F41">
        <v>1.956</v>
      </c>
      <c r="R41" s="2" t="s">
        <v>42</v>
      </c>
      <c r="S41">
        <v>3.1655916677921798</v>
      </c>
    </row>
    <row r="42" spans="1:19" ht="15.75" thickBot="1" x14ac:dyDescent="0.3">
      <c r="A42" s="2" t="s">
        <v>43</v>
      </c>
      <c r="B42" t="str">
        <f t="shared" si="0"/>
        <v>plateC</v>
      </c>
      <c r="C42" t="str">
        <f t="shared" si="3"/>
        <v>HF</v>
      </c>
      <c r="D42" t="str">
        <f t="shared" si="4"/>
        <v>8.2</v>
      </c>
      <c r="E42">
        <f>VLOOKUP(A42,$R$2:$S$71,2,FALSE)</f>
        <v>2.2883526453780489</v>
      </c>
      <c r="F42">
        <v>1.861</v>
      </c>
      <c r="R42" s="2" t="s">
        <v>43</v>
      </c>
      <c r="S42">
        <v>2.2883526453780489</v>
      </c>
    </row>
    <row r="43" spans="1:19" ht="15.75" thickBot="1" x14ac:dyDescent="0.3">
      <c r="A43" s="2" t="s">
        <v>43</v>
      </c>
      <c r="B43" t="str">
        <f t="shared" si="0"/>
        <v>plateC</v>
      </c>
      <c r="C43" t="str">
        <f t="shared" si="3"/>
        <v>HF</v>
      </c>
      <c r="D43" t="str">
        <f t="shared" si="4"/>
        <v>8.2</v>
      </c>
      <c r="E43">
        <f>VLOOKUP(A43,$R$2:$S$71,2,FALSE)</f>
        <v>2.2883526453780489</v>
      </c>
      <c r="F43">
        <v>4.1689999999999996</v>
      </c>
      <c r="R43" s="2" t="s">
        <v>43</v>
      </c>
      <c r="S43">
        <v>0.69212059749181876</v>
      </c>
    </row>
    <row r="44" spans="1:19" ht="15.75" thickBot="1" x14ac:dyDescent="0.3">
      <c r="A44" s="2" t="s">
        <v>44</v>
      </c>
      <c r="B44" t="str">
        <f t="shared" si="0"/>
        <v>plateC</v>
      </c>
      <c r="C44" t="str">
        <f t="shared" si="3"/>
        <v>HF</v>
      </c>
      <c r="D44" t="str">
        <f t="shared" si="4"/>
        <v>8.2</v>
      </c>
      <c r="E44">
        <f>VLOOKUP(A44,$R$2:$S$71,2,FALSE)</f>
        <v>1.9957161055633184</v>
      </c>
      <c r="F44">
        <v>1.2589999999999999</v>
      </c>
      <c r="R44" s="2" t="s">
        <v>51</v>
      </c>
      <c r="S44">
        <v>1.0615899327118195</v>
      </c>
    </row>
    <row r="45" spans="1:19" ht="15.75" thickBot="1" x14ac:dyDescent="0.3">
      <c r="A45" s="2" t="s">
        <v>45</v>
      </c>
      <c r="B45" t="str">
        <f t="shared" si="0"/>
        <v>plateC</v>
      </c>
      <c r="C45" t="str">
        <f t="shared" si="3"/>
        <v>HF</v>
      </c>
      <c r="D45" t="str">
        <f t="shared" si="4"/>
        <v>8.2</v>
      </c>
      <c r="E45">
        <f>VLOOKUP(A45,$R$2:$S$71,2,FALSE)</f>
        <v>1.4541286190846736</v>
      </c>
      <c r="F45">
        <v>3.1469999999999998</v>
      </c>
      <c r="R45" s="2" t="s">
        <v>52</v>
      </c>
      <c r="S45">
        <v>4.0005001733808667</v>
      </c>
    </row>
    <row r="46" spans="1:19" ht="15.75" thickBot="1" x14ac:dyDescent="0.3">
      <c r="A46" s="2" t="s">
        <v>46</v>
      </c>
      <c r="B46" t="str">
        <f t="shared" si="0"/>
        <v>plateC</v>
      </c>
      <c r="C46" t="str">
        <f t="shared" si="3"/>
        <v>HF</v>
      </c>
      <c r="D46" t="str">
        <f t="shared" si="4"/>
        <v>8.2</v>
      </c>
      <c r="E46">
        <f>VLOOKUP(A46,$R$2:$S$71,2,FALSE)</f>
        <v>1.6347794256050565</v>
      </c>
      <c r="F46">
        <v>3.4609999999999999</v>
      </c>
      <c r="R46" s="2" t="s">
        <v>53</v>
      </c>
      <c r="S46">
        <v>3.5861486241956393</v>
      </c>
    </row>
    <row r="47" spans="1:19" ht="15.75" thickBot="1" x14ac:dyDescent="0.3">
      <c r="A47" s="2" t="s">
        <v>47</v>
      </c>
      <c r="B47" t="str">
        <f t="shared" si="0"/>
        <v>plateC</v>
      </c>
      <c r="C47" t="str">
        <f t="shared" si="3"/>
        <v>HF</v>
      </c>
      <c r="D47" t="str">
        <f t="shared" si="4"/>
        <v>8.2</v>
      </c>
      <c r="E47">
        <f>VLOOKUP(A47,$R$2:$S$71,2,FALSE)</f>
        <v>2.5489997166761467</v>
      </c>
      <c r="F47">
        <v>4.1050000000000004</v>
      </c>
      <c r="R47" s="2" t="s">
        <v>54</v>
      </c>
      <c r="S47">
        <v>4.9095338616924495</v>
      </c>
    </row>
    <row r="48" spans="1:19" ht="15.75" thickBot="1" x14ac:dyDescent="0.3">
      <c r="A48" s="2" t="s">
        <v>48</v>
      </c>
      <c r="B48" t="str">
        <f t="shared" si="0"/>
        <v>plateC</v>
      </c>
      <c r="C48" t="str">
        <f t="shared" si="3"/>
        <v>HF</v>
      </c>
      <c r="D48" t="str">
        <f t="shared" si="4"/>
        <v>8.2</v>
      </c>
      <c r="E48">
        <f>VLOOKUP(A48,$R$2:$S$71,2,FALSE)</f>
        <v>2.5187833073722676</v>
      </c>
      <c r="F48">
        <v>2.9159999999999999</v>
      </c>
      <c r="R48" s="2" t="s">
        <v>55</v>
      </c>
      <c r="S48">
        <v>3.1777494449734291</v>
      </c>
    </row>
    <row r="49" spans="1:19" ht="15.75" thickBot="1" x14ac:dyDescent="0.3">
      <c r="A49" s="2" t="s">
        <v>49</v>
      </c>
      <c r="B49" t="str">
        <f t="shared" si="0"/>
        <v>plateC</v>
      </c>
      <c r="C49" t="str">
        <f t="shared" si="3"/>
        <v>HF</v>
      </c>
      <c r="D49" t="str">
        <f t="shared" si="4"/>
        <v>8.2</v>
      </c>
      <c r="E49">
        <f>VLOOKUP(A49,$R$2:$S$71,2,FALSE)</f>
        <v>3.3007774812649426</v>
      </c>
      <c r="F49">
        <v>3.214</v>
      </c>
      <c r="R49" s="2" t="s">
        <v>44</v>
      </c>
      <c r="S49">
        <v>1.9957161055633184</v>
      </c>
    </row>
    <row r="50" spans="1:19" ht="15.75" thickBot="1" x14ac:dyDescent="0.3">
      <c r="A50" s="2" t="s">
        <v>49</v>
      </c>
      <c r="B50" t="str">
        <f t="shared" si="0"/>
        <v>plateC</v>
      </c>
      <c r="C50" t="str">
        <f t="shared" si="3"/>
        <v>HF</v>
      </c>
      <c r="D50" t="str">
        <f t="shared" si="4"/>
        <v>8.2</v>
      </c>
      <c r="E50">
        <f>VLOOKUP(A50,$R$2:$S$71,2,FALSE)</f>
        <v>3.3007774812649426</v>
      </c>
      <c r="F50">
        <v>1.913</v>
      </c>
      <c r="R50" s="2" t="s">
        <v>45</v>
      </c>
      <c r="S50">
        <v>1.4541286190846736</v>
      </c>
    </row>
    <row r="51" spans="1:19" ht="15.75" thickBot="1" x14ac:dyDescent="0.3">
      <c r="A51" s="2" t="s">
        <v>50</v>
      </c>
      <c r="B51" t="str">
        <f t="shared" si="0"/>
        <v>plateC</v>
      </c>
      <c r="C51" t="str">
        <f t="shared" si="3"/>
        <v>HF</v>
      </c>
      <c r="D51" t="str">
        <f t="shared" si="4"/>
        <v>8.2</v>
      </c>
      <c r="E51">
        <f>VLOOKUP(A51,$R$2:$S$71,2,FALSE)</f>
        <v>2.3460074486493685</v>
      </c>
      <c r="F51">
        <v>1.411</v>
      </c>
      <c r="R51" s="2" t="s">
        <v>46</v>
      </c>
      <c r="S51">
        <v>1.6347794256050565</v>
      </c>
    </row>
    <row r="52" spans="1:19" ht="15.75" thickBot="1" x14ac:dyDescent="0.3">
      <c r="A52" s="2" t="s">
        <v>51</v>
      </c>
      <c r="B52" t="str">
        <f t="shared" si="0"/>
        <v>plateC</v>
      </c>
      <c r="C52" t="str">
        <f t="shared" si="3"/>
        <v>HF</v>
      </c>
      <c r="D52" t="str">
        <f t="shared" si="4"/>
        <v>8.2</v>
      </c>
      <c r="E52">
        <f>VLOOKUP(A52,$R$2:$S$71,2,FALSE)</f>
        <v>1.0615899327118195</v>
      </c>
      <c r="F52">
        <v>1.004</v>
      </c>
      <c r="R52" s="2" t="s">
        <v>47</v>
      </c>
      <c r="S52">
        <v>2.5489997166761467</v>
      </c>
    </row>
    <row r="53" spans="1:19" ht="15.75" thickBot="1" x14ac:dyDescent="0.3">
      <c r="A53" s="2" t="s">
        <v>52</v>
      </c>
      <c r="B53" t="str">
        <f t="shared" si="0"/>
        <v>plateC</v>
      </c>
      <c r="C53" t="str">
        <f t="shared" si="3"/>
        <v>HF</v>
      </c>
      <c r="D53" t="str">
        <f t="shared" si="4"/>
        <v>8.2</v>
      </c>
      <c r="E53">
        <f>VLOOKUP(A53,$R$2:$S$71,2,FALSE)</f>
        <v>4.0005001733808667</v>
      </c>
      <c r="F53">
        <v>3.9929999999999999</v>
      </c>
      <c r="R53" s="2" t="s">
        <v>48</v>
      </c>
      <c r="S53">
        <v>2.5187833073722676</v>
      </c>
    </row>
    <row r="54" spans="1:19" ht="15.75" thickBot="1" x14ac:dyDescent="0.3">
      <c r="A54" s="2" t="s">
        <v>53</v>
      </c>
      <c r="B54" t="str">
        <f t="shared" si="0"/>
        <v>plateC</v>
      </c>
      <c r="C54" t="str">
        <f t="shared" si="3"/>
        <v>HF</v>
      </c>
      <c r="D54" t="str">
        <f t="shared" si="4"/>
        <v>8.2</v>
      </c>
      <c r="E54">
        <f>VLOOKUP(A54,$R$2:$S$71,2,FALSE)</f>
        <v>3.5861486241956393</v>
      </c>
      <c r="F54">
        <v>5.9880000000000004</v>
      </c>
      <c r="R54" s="2" t="s">
        <v>49</v>
      </c>
      <c r="S54">
        <v>3.3007774812649426</v>
      </c>
    </row>
    <row r="55" spans="1:19" ht="15.75" thickBot="1" x14ac:dyDescent="0.3">
      <c r="A55" s="2" t="s">
        <v>54</v>
      </c>
      <c r="B55" t="str">
        <f t="shared" si="0"/>
        <v>plateC</v>
      </c>
      <c r="C55" t="str">
        <f t="shared" si="3"/>
        <v>HF</v>
      </c>
      <c r="D55" t="str">
        <f t="shared" si="4"/>
        <v>8.2</v>
      </c>
      <c r="E55">
        <f>VLOOKUP(A55,$R$2:$S$71,2,FALSE)</f>
        <v>4.9095338616924495</v>
      </c>
      <c r="F55">
        <v>3.246</v>
      </c>
      <c r="R55" s="2" t="s">
        <v>49</v>
      </c>
      <c r="S55">
        <v>2.2492118337388813</v>
      </c>
    </row>
    <row r="56" spans="1:19" ht="15.75" thickBot="1" x14ac:dyDescent="0.3">
      <c r="A56" s="2" t="s">
        <v>55</v>
      </c>
      <c r="B56" t="str">
        <f t="shared" si="0"/>
        <v>plateC</v>
      </c>
      <c r="C56" t="str">
        <f t="shared" si="3"/>
        <v>HF</v>
      </c>
      <c r="D56" t="str">
        <f t="shared" si="4"/>
        <v>8.2</v>
      </c>
      <c r="E56">
        <f>VLOOKUP(A56,$R$2:$S$71,2,FALSE)</f>
        <v>3.1777494449734291</v>
      </c>
      <c r="F56">
        <v>2.17</v>
      </c>
      <c r="R56" s="2" t="s">
        <v>50</v>
      </c>
      <c r="S56">
        <v>2.3460074486493685</v>
      </c>
    </row>
    <row r="57" spans="1:19" ht="15.75" thickBot="1" x14ac:dyDescent="0.3">
      <c r="A57" s="2" t="s">
        <v>56</v>
      </c>
      <c r="B57" t="str">
        <f t="shared" si="0"/>
        <v>plateC</v>
      </c>
      <c r="C57" t="str">
        <f t="shared" si="3"/>
        <v>NF</v>
      </c>
      <c r="D57" t="str">
        <f t="shared" si="4"/>
        <v>7.6</v>
      </c>
      <c r="E57">
        <f>VLOOKUP(A57,$R$2:$S$71,2,FALSE)</f>
        <v>1.8856920470393854</v>
      </c>
      <c r="F57">
        <v>1.5840000000000001</v>
      </c>
      <c r="R57" s="2" t="s">
        <v>74</v>
      </c>
      <c r="S57">
        <v>8.2500449654541008E-2</v>
      </c>
    </row>
    <row r="58" spans="1:19" ht="15.75" thickBot="1" x14ac:dyDescent="0.3">
      <c r="A58" s="2" t="s">
        <v>57</v>
      </c>
      <c r="B58" t="str">
        <f t="shared" si="0"/>
        <v>plateC</v>
      </c>
      <c r="C58" t="str">
        <f t="shared" si="3"/>
        <v>NF</v>
      </c>
      <c r="D58" t="str">
        <f t="shared" si="4"/>
        <v>7.6</v>
      </c>
      <c r="E58">
        <f>VLOOKUP(A58,$R$2:$S$71,2,FALSE)</f>
        <v>2.7336772415026807</v>
      </c>
      <c r="F58">
        <v>3.7490000000000001</v>
      </c>
      <c r="R58" s="2" t="s">
        <v>56</v>
      </c>
      <c r="S58">
        <v>1.8856920470393854</v>
      </c>
    </row>
    <row r="59" spans="1:19" ht="15.75" thickBot="1" x14ac:dyDescent="0.3">
      <c r="A59" s="2" t="s">
        <v>58</v>
      </c>
      <c r="B59" t="str">
        <f t="shared" si="0"/>
        <v>plateC</v>
      </c>
      <c r="C59" t="str">
        <f t="shared" si="3"/>
        <v>NF</v>
      </c>
      <c r="D59" t="str">
        <f t="shared" si="4"/>
        <v>7.6</v>
      </c>
      <c r="E59">
        <f>VLOOKUP(A59,$R$2:$S$71,2,FALSE)</f>
        <v>3.3254075852829001</v>
      </c>
      <c r="F59">
        <v>4.0599999999999996</v>
      </c>
      <c r="R59" s="2" t="s">
        <v>57</v>
      </c>
      <c r="S59">
        <v>2.7336772415026807</v>
      </c>
    </row>
    <row r="60" spans="1:19" ht="15.75" thickBot="1" x14ac:dyDescent="0.3">
      <c r="A60" s="2" t="s">
        <v>59</v>
      </c>
      <c r="B60" t="str">
        <f t="shared" si="0"/>
        <v>plateC</v>
      </c>
      <c r="C60" t="str">
        <f t="shared" si="3"/>
        <v>NF</v>
      </c>
      <c r="D60" t="str">
        <f t="shared" si="4"/>
        <v>7.6</v>
      </c>
      <c r="E60">
        <f>VLOOKUP(A60,$R$2:$S$71,2,FALSE)</f>
        <v>4.0629999462046777</v>
      </c>
      <c r="F60">
        <v>3.0870000000000002</v>
      </c>
      <c r="R60" s="2" t="s">
        <v>58</v>
      </c>
      <c r="S60">
        <v>3.3254075852829001</v>
      </c>
    </row>
    <row r="61" spans="1:19" ht="15.75" thickBot="1" x14ac:dyDescent="0.3">
      <c r="A61" s="2" t="s">
        <v>60</v>
      </c>
      <c r="B61" t="str">
        <f t="shared" si="0"/>
        <v>plateD</v>
      </c>
      <c r="C61" t="str">
        <f t="shared" si="3"/>
        <v>NF</v>
      </c>
      <c r="D61" t="str">
        <f t="shared" si="4"/>
        <v>8.2</v>
      </c>
      <c r="E61">
        <f>VLOOKUP(A61,$R$2:$S$71,2,FALSE)</f>
        <v>1.8855311874206044</v>
      </c>
      <c r="F61">
        <v>1.665</v>
      </c>
      <c r="R61" s="2" t="s">
        <v>59</v>
      </c>
      <c r="S61">
        <v>4.0629999462046777</v>
      </c>
    </row>
    <row r="62" spans="1:19" ht="15.75" thickBot="1" x14ac:dyDescent="0.3">
      <c r="A62" s="2" t="s">
        <v>61</v>
      </c>
      <c r="B62" t="str">
        <f t="shared" si="0"/>
        <v>plateD</v>
      </c>
      <c r="C62" t="str">
        <f t="shared" si="3"/>
        <v>NF</v>
      </c>
      <c r="D62" t="str">
        <f t="shared" si="4"/>
        <v>8.2</v>
      </c>
      <c r="E62">
        <f>VLOOKUP(A62,$R$2:$S$71,2,FALSE)</f>
        <v>3.412439196601913</v>
      </c>
      <c r="F62">
        <v>1.3009999999999999</v>
      </c>
      <c r="R62" s="2" t="s">
        <v>60</v>
      </c>
      <c r="S62">
        <v>1.8855311874206044</v>
      </c>
    </row>
    <row r="63" spans="1:19" ht="15.75" thickBot="1" x14ac:dyDescent="0.3">
      <c r="A63" s="2" t="s">
        <v>62</v>
      </c>
      <c r="B63" t="str">
        <f t="shared" si="0"/>
        <v>plateD</v>
      </c>
      <c r="C63" t="str">
        <f t="shared" si="3"/>
        <v>NF</v>
      </c>
      <c r="D63" t="str">
        <f t="shared" si="4"/>
        <v>8.2</v>
      </c>
      <c r="E63">
        <f>VLOOKUP(A63,$R$2:$S$71,2,FALSE)</f>
        <v>5.0912698908640381</v>
      </c>
      <c r="F63">
        <v>1.6890000000000001</v>
      </c>
      <c r="R63" s="2" t="s">
        <v>69</v>
      </c>
      <c r="S63">
        <v>2.1407533209523342</v>
      </c>
    </row>
    <row r="64" spans="1:19" ht="15.75" thickBot="1" x14ac:dyDescent="0.3">
      <c r="A64" s="2" t="s">
        <v>63</v>
      </c>
      <c r="B64" t="str">
        <f t="shared" si="0"/>
        <v>plateD</v>
      </c>
      <c r="C64" t="str">
        <f t="shared" si="3"/>
        <v>NF</v>
      </c>
      <c r="D64" t="str">
        <f t="shared" si="4"/>
        <v>8.2</v>
      </c>
      <c r="E64">
        <f>VLOOKUP(A64,$R$2:$S$71,2,FALSE)</f>
        <v>1.6375291247826331</v>
      </c>
      <c r="F64">
        <v>1.2270000000000001</v>
      </c>
      <c r="R64" s="2" t="s">
        <v>61</v>
      </c>
      <c r="S64">
        <v>3.412439196601913</v>
      </c>
    </row>
    <row r="65" spans="1:19" ht="15.75" thickBot="1" x14ac:dyDescent="0.3">
      <c r="A65" s="2" t="s">
        <v>64</v>
      </c>
      <c r="B65" t="str">
        <f t="shared" si="0"/>
        <v>plateD</v>
      </c>
      <c r="C65" t="str">
        <f t="shared" si="3"/>
        <v>NF</v>
      </c>
      <c r="D65" t="str">
        <f t="shared" si="4"/>
        <v>8.2</v>
      </c>
      <c r="E65">
        <f>VLOOKUP(A65,$R$2:$S$71,2,FALSE)</f>
        <v>1.6097561585332036</v>
      </c>
      <c r="F65">
        <v>1.115</v>
      </c>
      <c r="R65" s="2" t="s">
        <v>62</v>
      </c>
      <c r="S65">
        <v>5.0912698908640381</v>
      </c>
    </row>
    <row r="66" spans="1:19" ht="15.75" thickBot="1" x14ac:dyDescent="0.3">
      <c r="A66" s="2" t="s">
        <v>65</v>
      </c>
      <c r="B66" t="str">
        <f t="shared" ref="B66:B70" si="5">MID(A66,1,6)</f>
        <v>plateD</v>
      </c>
      <c r="C66" t="str">
        <f t="shared" si="3"/>
        <v>NF</v>
      </c>
      <c r="D66" t="str">
        <f t="shared" si="4"/>
        <v>8.2</v>
      </c>
      <c r="E66">
        <f>VLOOKUP(A66,$R$2:$S$71,2,FALSE)</f>
        <v>2.7070226205982704</v>
      </c>
      <c r="F66">
        <v>2.4340000000000002</v>
      </c>
      <c r="R66" s="2" t="s">
        <v>63</v>
      </c>
      <c r="S66">
        <v>1.6375291247826331</v>
      </c>
    </row>
    <row r="67" spans="1:19" ht="15.75" thickBot="1" x14ac:dyDescent="0.3">
      <c r="A67" s="2" t="s">
        <v>66</v>
      </c>
      <c r="B67" t="str">
        <f t="shared" si="5"/>
        <v>plateD</v>
      </c>
      <c r="C67" t="str">
        <f t="shared" ref="C67:C70" si="6">MID(A67,8,2)</f>
        <v>NF</v>
      </c>
      <c r="D67" t="str">
        <f t="shared" ref="D67:D70" si="7">MID(A67,11,3)</f>
        <v>8.2</v>
      </c>
      <c r="E67">
        <f>VLOOKUP(A67,$R$2:$S$71,2,FALSE)</f>
        <v>2.7444690934742515</v>
      </c>
      <c r="F67">
        <v>0.52100000000000002</v>
      </c>
      <c r="R67" s="2" t="s">
        <v>64</v>
      </c>
      <c r="S67">
        <v>1.6097561585332036</v>
      </c>
    </row>
    <row r="68" spans="1:19" ht="15.75" thickBot="1" x14ac:dyDescent="0.3">
      <c r="A68" s="2" t="s">
        <v>67</v>
      </c>
      <c r="B68" t="str">
        <f t="shared" si="5"/>
        <v>plateD</v>
      </c>
      <c r="C68" t="str">
        <f t="shared" si="6"/>
        <v>NF</v>
      </c>
      <c r="D68" t="str">
        <f t="shared" si="7"/>
        <v>8.2</v>
      </c>
      <c r="E68">
        <f>VLOOKUP(A68,$R$2:$S$71,2,FALSE)</f>
        <v>1.7675652615648374</v>
      </c>
      <c r="F68">
        <v>1.2629999999999999</v>
      </c>
      <c r="R68" s="2" t="s">
        <v>65</v>
      </c>
      <c r="S68">
        <v>2.7070226205982704</v>
      </c>
    </row>
    <row r="69" spans="1:19" ht="15.75" thickBot="1" x14ac:dyDescent="0.3">
      <c r="A69" s="2" t="s">
        <v>68</v>
      </c>
      <c r="B69" t="str">
        <f t="shared" si="5"/>
        <v>plateD</v>
      </c>
      <c r="C69" t="str">
        <f t="shared" si="6"/>
        <v>NF</v>
      </c>
      <c r="D69" t="str">
        <f t="shared" si="7"/>
        <v>8.2</v>
      </c>
      <c r="E69">
        <f>VLOOKUP(A69,$R$2:$S$71,2,FALSE)</f>
        <v>2.117732993195335</v>
      </c>
      <c r="F69">
        <v>3.367</v>
      </c>
      <c r="R69" s="2" t="s">
        <v>66</v>
      </c>
      <c r="S69">
        <v>2.7444690934742515</v>
      </c>
    </row>
    <row r="70" spans="1:19" ht="15.75" thickBot="1" x14ac:dyDescent="0.3">
      <c r="A70" s="2" t="s">
        <v>69</v>
      </c>
      <c r="B70" t="str">
        <f t="shared" si="5"/>
        <v>plateD</v>
      </c>
      <c r="C70" t="str">
        <f t="shared" si="6"/>
        <v>NF</v>
      </c>
      <c r="D70" t="str">
        <f t="shared" si="7"/>
        <v>8.2</v>
      </c>
      <c r="E70">
        <f>VLOOKUP(A70,$R$2:$S$71,2,FALSE)</f>
        <v>2.1407533209523342</v>
      </c>
      <c r="F70">
        <v>2.7669999999999999</v>
      </c>
      <c r="R70" s="2" t="s">
        <v>67</v>
      </c>
      <c r="S70">
        <v>1.7675652615648374</v>
      </c>
    </row>
    <row r="71" spans="1:19" ht="15.75" thickBot="1" x14ac:dyDescent="0.3">
      <c r="R71" s="2" t="s">
        <v>68</v>
      </c>
      <c r="S71">
        <v>2.117732993195335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44F88-0437-4AC7-8BF0-42F4B3B8AFD0}">
  <dimension ref="A1:AB97"/>
  <sheetViews>
    <sheetView topLeftCell="A40" zoomScale="85" zoomScaleNormal="85" workbookViewId="0">
      <selection activeCell="C9" sqref="C9"/>
    </sheetView>
  </sheetViews>
  <sheetFormatPr defaultRowHeight="15" x14ac:dyDescent="0.25"/>
  <cols>
    <col min="1" max="1" width="17.42578125" customWidth="1"/>
    <col min="2" max="2" width="22" bestFit="1" customWidth="1"/>
    <col min="3" max="3" width="16" customWidth="1"/>
  </cols>
  <sheetData>
    <row r="1" spans="1:28" ht="15.75" thickBot="1" x14ac:dyDescent="0.3">
      <c r="A1" t="s">
        <v>75</v>
      </c>
      <c r="B1" t="s">
        <v>76</v>
      </c>
    </row>
    <row r="2" spans="1:28" ht="15.75" thickBot="1" x14ac:dyDescent="0.3">
      <c r="A2" s="2" t="s">
        <v>7</v>
      </c>
      <c r="B2" s="3">
        <v>1.5115268540459044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75" thickBot="1" x14ac:dyDescent="0.3">
      <c r="A3" s="2" t="s">
        <v>16</v>
      </c>
      <c r="B3" s="3">
        <v>0.94166993654970432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.75" thickBot="1" x14ac:dyDescent="0.3">
      <c r="A4" s="2" t="s">
        <v>17</v>
      </c>
      <c r="B4" s="3">
        <v>1.9549511261575603</v>
      </c>
    </row>
    <row r="5" spans="1:28" ht="15.75" thickBot="1" x14ac:dyDescent="0.3">
      <c r="A5" s="2" t="s">
        <v>18</v>
      </c>
      <c r="B5" s="3">
        <v>2.6313413661049734</v>
      </c>
    </row>
    <row r="6" spans="1:28" ht="15.75" thickBot="1" x14ac:dyDescent="0.3">
      <c r="A6" s="2" t="s">
        <v>19</v>
      </c>
      <c r="B6" s="3">
        <v>1.2885373099024853</v>
      </c>
    </row>
    <row r="7" spans="1:28" ht="15.75" thickBot="1" x14ac:dyDescent="0.3">
      <c r="A7" s="2" t="s">
        <v>20</v>
      </c>
      <c r="B7" s="3">
        <v>1.2071820279410479</v>
      </c>
    </row>
    <row r="8" spans="1:28" ht="15.75" thickBot="1" x14ac:dyDescent="0.3">
      <c r="A8" s="2" t="s">
        <v>8</v>
      </c>
      <c r="B8" s="3">
        <v>0.58761871668826793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thickBot="1" x14ac:dyDescent="0.3">
      <c r="A9" s="2" t="s">
        <v>9</v>
      </c>
      <c r="B9" s="3">
        <v>1.1319043985635908</v>
      </c>
    </row>
    <row r="10" spans="1:28" ht="15.75" thickBot="1" x14ac:dyDescent="0.3">
      <c r="A10" s="2" t="s">
        <v>10</v>
      </c>
      <c r="B10" s="3">
        <v>1.5866505990604862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5.75" thickBot="1" x14ac:dyDescent="0.3">
      <c r="A11" s="2" t="s">
        <v>11</v>
      </c>
      <c r="B11" s="3">
        <v>1.4234452946689151</v>
      </c>
      <c r="E11" s="2"/>
      <c r="F11" s="2"/>
      <c r="G11" s="2"/>
      <c r="H11" s="2"/>
    </row>
    <row r="12" spans="1:28" ht="15.75" thickBot="1" x14ac:dyDescent="0.3">
      <c r="A12" s="2" t="s">
        <v>12</v>
      </c>
      <c r="B12" s="3">
        <v>0.36614199046641516</v>
      </c>
    </row>
    <row r="13" spans="1:28" ht="15.75" thickBot="1" x14ac:dyDescent="0.3">
      <c r="A13" s="2" t="s">
        <v>13</v>
      </c>
      <c r="B13" s="3">
        <v>5.7983545563563006E-2</v>
      </c>
    </row>
    <row r="14" spans="1:28" ht="15.75" thickBot="1" x14ac:dyDescent="0.3">
      <c r="A14" s="2" t="s">
        <v>14</v>
      </c>
      <c r="B14" s="3">
        <v>1.2196049927332806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 thickBot="1" x14ac:dyDescent="0.3">
      <c r="A15" s="2" t="s">
        <v>15</v>
      </c>
      <c r="B15" s="3">
        <v>2.2089850828445114</v>
      </c>
    </row>
    <row r="16" spans="1:28" ht="15.75" thickBot="1" x14ac:dyDescent="0.3">
      <c r="A16" s="2" t="s">
        <v>21</v>
      </c>
      <c r="B16" s="3">
        <v>3.9400072824833368</v>
      </c>
    </row>
    <row r="17" spans="1:28" ht="15.75" thickBot="1" x14ac:dyDescent="0.3">
      <c r="A17" s="2" t="s">
        <v>22</v>
      </c>
      <c r="B17" s="3">
        <v>1.8259680113588268</v>
      </c>
    </row>
    <row r="18" spans="1:28" ht="15.75" thickBot="1" x14ac:dyDescent="0.3">
      <c r="A18" s="2" t="s">
        <v>23</v>
      </c>
      <c r="B18" s="3">
        <v>1.0726226242274348</v>
      </c>
    </row>
    <row r="19" spans="1:28" ht="15.75" thickBot="1" x14ac:dyDescent="0.3">
      <c r="A19" s="2" t="s">
        <v>24</v>
      </c>
      <c r="B19" s="3">
        <v>3.9612673475252786</v>
      </c>
    </row>
    <row r="20" spans="1:28" ht="15.75" thickBot="1" x14ac:dyDescent="0.3">
      <c r="A20" s="2" t="s">
        <v>25</v>
      </c>
      <c r="B20" s="3">
        <v>1.7699097795877492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thickBot="1" x14ac:dyDescent="0.3">
      <c r="A21" s="2" t="s">
        <v>26</v>
      </c>
      <c r="B21" s="3">
        <v>1.9194331682866328</v>
      </c>
    </row>
    <row r="22" spans="1:28" ht="15.75" thickBot="1" x14ac:dyDescent="0.3">
      <c r="A22" s="2" t="s">
        <v>27</v>
      </c>
      <c r="B22">
        <v>3.0471817485003285</v>
      </c>
    </row>
    <row r="23" spans="1:28" ht="15.75" thickBot="1" x14ac:dyDescent="0.3">
      <c r="A23" s="2" t="s">
        <v>36</v>
      </c>
      <c r="B23">
        <v>4.154662763247801</v>
      </c>
    </row>
    <row r="24" spans="1:28" ht="15.75" thickBot="1" x14ac:dyDescent="0.3">
      <c r="A24" s="2" t="s">
        <v>37</v>
      </c>
      <c r="B24">
        <v>5.3745375308886576</v>
      </c>
    </row>
    <row r="25" spans="1:28" ht="15.75" thickBot="1" x14ac:dyDescent="0.3">
      <c r="A25" s="2" t="s">
        <v>38</v>
      </c>
      <c r="B25">
        <v>4.9204135781708569</v>
      </c>
    </row>
    <row r="26" spans="1:28" ht="15.75" thickBot="1" x14ac:dyDescent="0.3">
      <c r="A26" s="2" t="s">
        <v>70</v>
      </c>
      <c r="B26">
        <v>3.1964574616163128</v>
      </c>
    </row>
    <row r="27" spans="1:28" ht="15.75" thickBot="1" x14ac:dyDescent="0.3">
      <c r="A27" s="2" t="s">
        <v>71</v>
      </c>
      <c r="B27">
        <v>4.4359406002507518</v>
      </c>
    </row>
    <row r="28" spans="1:28" ht="15.75" thickBot="1" x14ac:dyDescent="0.3">
      <c r="A28" s="2" t="s">
        <v>28</v>
      </c>
      <c r="B28">
        <v>1.6662099547010738</v>
      </c>
    </row>
    <row r="29" spans="1:28" ht="15.75" thickBot="1" x14ac:dyDescent="0.3">
      <c r="A29" s="2" t="s">
        <v>29</v>
      </c>
      <c r="B29">
        <v>1.2929700446636034</v>
      </c>
    </row>
    <row r="30" spans="1:28" ht="15.75" thickBot="1" x14ac:dyDescent="0.3">
      <c r="A30" s="2" t="s">
        <v>30</v>
      </c>
      <c r="B30">
        <v>3.0663147662235994</v>
      </c>
    </row>
    <row r="31" spans="1:28" ht="15.75" thickBot="1" x14ac:dyDescent="0.3">
      <c r="A31" s="2" t="s">
        <v>31</v>
      </c>
      <c r="B31">
        <v>5.4443047102485913</v>
      </c>
    </row>
    <row r="32" spans="1:28" ht="15.75" thickBot="1" x14ac:dyDescent="0.3">
      <c r="A32" s="2" t="s">
        <v>32</v>
      </c>
      <c r="B32">
        <v>2.508464739722216</v>
      </c>
    </row>
    <row r="33" spans="1:2" ht="15.75" thickBot="1" x14ac:dyDescent="0.3">
      <c r="A33" s="2" t="s">
        <v>33</v>
      </c>
      <c r="B33">
        <v>4.2118743158067291</v>
      </c>
    </row>
    <row r="34" spans="1:2" ht="15.75" thickBot="1" x14ac:dyDescent="0.3">
      <c r="A34" s="2" t="s">
        <v>34</v>
      </c>
      <c r="B34">
        <v>6.0047755940485832</v>
      </c>
    </row>
    <row r="35" spans="1:2" ht="15.75" thickBot="1" x14ac:dyDescent="0.3">
      <c r="A35" s="2" t="s">
        <v>35</v>
      </c>
      <c r="B35">
        <v>3.8359431854128205</v>
      </c>
    </row>
    <row r="36" spans="1:2" ht="15.75" thickBot="1" x14ac:dyDescent="0.3">
      <c r="A36" s="2" t="s">
        <v>72</v>
      </c>
      <c r="B36">
        <v>5.8789291131344648</v>
      </c>
    </row>
    <row r="37" spans="1:2" ht="15.75" thickBot="1" x14ac:dyDescent="0.3">
      <c r="A37" s="2" t="s">
        <v>73</v>
      </c>
      <c r="B37">
        <v>3.7963894976777386</v>
      </c>
    </row>
    <row r="38" spans="1:2" ht="15.75" thickBot="1" x14ac:dyDescent="0.3">
      <c r="A38" s="2" t="s">
        <v>39</v>
      </c>
      <c r="B38">
        <v>2.3108291828199965</v>
      </c>
    </row>
    <row r="39" spans="1:2" ht="15.75" thickBot="1" x14ac:dyDescent="0.3">
      <c r="A39" s="2" t="s">
        <v>40</v>
      </c>
      <c r="B39">
        <v>2.3009833528891166</v>
      </c>
    </row>
    <row r="40" spans="1:2" ht="15.75" thickBot="1" x14ac:dyDescent="0.3">
      <c r="A40" s="2" t="s">
        <v>41</v>
      </c>
      <c r="B40">
        <v>1.8829624796630207</v>
      </c>
    </row>
    <row r="41" spans="1:2" ht="15.75" thickBot="1" x14ac:dyDescent="0.3">
      <c r="A41" s="2" t="s">
        <v>42</v>
      </c>
      <c r="B41">
        <v>3.1655916677921798</v>
      </c>
    </row>
    <row r="42" spans="1:2" ht="15.75" thickBot="1" x14ac:dyDescent="0.3">
      <c r="A42" s="2" t="s">
        <v>43</v>
      </c>
      <c r="B42">
        <v>2.2883526453780489</v>
      </c>
    </row>
    <row r="43" spans="1:2" ht="15.75" thickBot="1" x14ac:dyDescent="0.3">
      <c r="A43" s="2" t="s">
        <v>43</v>
      </c>
      <c r="B43">
        <v>0.69212059749181876</v>
      </c>
    </row>
    <row r="44" spans="1:2" ht="15.75" thickBot="1" x14ac:dyDescent="0.3">
      <c r="A44" s="2" t="s">
        <v>51</v>
      </c>
      <c r="B44">
        <v>1.0615899327118195</v>
      </c>
    </row>
    <row r="45" spans="1:2" ht="15.75" thickBot="1" x14ac:dyDescent="0.3">
      <c r="A45" s="2" t="s">
        <v>52</v>
      </c>
      <c r="B45">
        <v>4.0005001733808667</v>
      </c>
    </row>
    <row r="46" spans="1:2" ht="15.75" thickBot="1" x14ac:dyDescent="0.3">
      <c r="A46" s="2" t="s">
        <v>53</v>
      </c>
      <c r="B46">
        <v>3.5861486241956393</v>
      </c>
    </row>
    <row r="47" spans="1:2" ht="15.75" thickBot="1" x14ac:dyDescent="0.3">
      <c r="A47" s="2" t="s">
        <v>54</v>
      </c>
      <c r="B47">
        <v>4.9095338616924495</v>
      </c>
    </row>
    <row r="48" spans="1:2" ht="15.75" thickBot="1" x14ac:dyDescent="0.3">
      <c r="A48" s="2" t="s">
        <v>55</v>
      </c>
      <c r="B48">
        <v>3.1777494449734291</v>
      </c>
    </row>
    <row r="49" spans="1:2" ht="15.75" thickBot="1" x14ac:dyDescent="0.3">
      <c r="A49" s="2" t="s">
        <v>44</v>
      </c>
      <c r="B49">
        <v>1.9957161055633184</v>
      </c>
    </row>
    <row r="50" spans="1:2" ht="15.75" thickBot="1" x14ac:dyDescent="0.3">
      <c r="A50" s="2" t="s">
        <v>45</v>
      </c>
      <c r="B50">
        <v>1.4541286190846736</v>
      </c>
    </row>
    <row r="51" spans="1:2" ht="15.75" thickBot="1" x14ac:dyDescent="0.3">
      <c r="A51" s="2" t="s">
        <v>46</v>
      </c>
      <c r="B51">
        <v>1.6347794256050565</v>
      </c>
    </row>
    <row r="52" spans="1:2" ht="15.75" thickBot="1" x14ac:dyDescent="0.3">
      <c r="A52" s="2" t="s">
        <v>47</v>
      </c>
      <c r="B52">
        <v>2.5489997166761467</v>
      </c>
    </row>
    <row r="53" spans="1:2" ht="15.75" thickBot="1" x14ac:dyDescent="0.3">
      <c r="A53" s="2" t="s">
        <v>48</v>
      </c>
      <c r="B53">
        <v>2.5187833073722676</v>
      </c>
    </row>
    <row r="54" spans="1:2" ht="15.75" thickBot="1" x14ac:dyDescent="0.3">
      <c r="A54" s="2" t="s">
        <v>49</v>
      </c>
      <c r="B54">
        <v>3.3007774812649426</v>
      </c>
    </row>
    <row r="55" spans="1:2" ht="15.75" thickBot="1" x14ac:dyDescent="0.3">
      <c r="A55" s="2" t="s">
        <v>49</v>
      </c>
      <c r="B55">
        <v>2.2492118337388813</v>
      </c>
    </row>
    <row r="56" spans="1:2" ht="15.75" thickBot="1" x14ac:dyDescent="0.3">
      <c r="A56" s="2" t="s">
        <v>50</v>
      </c>
      <c r="B56">
        <v>2.3460074486493685</v>
      </c>
    </row>
    <row r="57" spans="1:2" ht="15.75" thickBot="1" x14ac:dyDescent="0.3">
      <c r="A57" s="2" t="s">
        <v>74</v>
      </c>
      <c r="B57">
        <v>8.2500449654541008E-2</v>
      </c>
    </row>
    <row r="58" spans="1:2" ht="15.75" thickBot="1" x14ac:dyDescent="0.3">
      <c r="A58" s="2" t="s">
        <v>56</v>
      </c>
      <c r="B58">
        <v>1.8856920470393854</v>
      </c>
    </row>
    <row r="59" spans="1:2" ht="15.75" thickBot="1" x14ac:dyDescent="0.3">
      <c r="A59" s="2" t="s">
        <v>57</v>
      </c>
      <c r="B59">
        <v>2.7336772415026807</v>
      </c>
    </row>
    <row r="60" spans="1:2" ht="15.75" thickBot="1" x14ac:dyDescent="0.3">
      <c r="A60" s="2" t="s">
        <v>58</v>
      </c>
      <c r="B60">
        <v>3.3254075852829001</v>
      </c>
    </row>
    <row r="61" spans="1:2" ht="15.75" thickBot="1" x14ac:dyDescent="0.3">
      <c r="A61" s="2" t="s">
        <v>59</v>
      </c>
      <c r="B61">
        <v>4.0629999462046777</v>
      </c>
    </row>
    <row r="62" spans="1:2" ht="15.75" thickBot="1" x14ac:dyDescent="0.3">
      <c r="A62" s="2" t="s">
        <v>60</v>
      </c>
      <c r="B62">
        <v>1.8855311874206044</v>
      </c>
    </row>
    <row r="63" spans="1:2" ht="15.75" thickBot="1" x14ac:dyDescent="0.3">
      <c r="A63" s="2" t="s">
        <v>69</v>
      </c>
      <c r="B63">
        <v>2.1407533209523342</v>
      </c>
    </row>
    <row r="64" spans="1:2" ht="15.75" thickBot="1" x14ac:dyDescent="0.3">
      <c r="A64" s="2" t="s">
        <v>61</v>
      </c>
      <c r="B64">
        <v>3.412439196601913</v>
      </c>
    </row>
    <row r="65" spans="1:2" ht="15.75" thickBot="1" x14ac:dyDescent="0.3">
      <c r="A65" s="2" t="s">
        <v>62</v>
      </c>
      <c r="B65">
        <v>5.0912698908640381</v>
      </c>
    </row>
    <row r="66" spans="1:2" ht="15.75" thickBot="1" x14ac:dyDescent="0.3">
      <c r="A66" s="2" t="s">
        <v>63</v>
      </c>
      <c r="B66">
        <v>1.6375291247826331</v>
      </c>
    </row>
    <row r="67" spans="1:2" ht="15.75" thickBot="1" x14ac:dyDescent="0.3">
      <c r="A67" s="2" t="s">
        <v>64</v>
      </c>
      <c r="B67">
        <v>1.6097561585332036</v>
      </c>
    </row>
    <row r="68" spans="1:2" ht="15.75" thickBot="1" x14ac:dyDescent="0.3">
      <c r="A68" s="2" t="s">
        <v>65</v>
      </c>
      <c r="B68">
        <v>2.7070226205982704</v>
      </c>
    </row>
    <row r="69" spans="1:2" ht="15.75" thickBot="1" x14ac:dyDescent="0.3">
      <c r="A69" s="2" t="s">
        <v>66</v>
      </c>
      <c r="B69">
        <v>2.7444690934742515</v>
      </c>
    </row>
    <row r="70" spans="1:2" ht="15.75" thickBot="1" x14ac:dyDescent="0.3">
      <c r="A70" s="2" t="s">
        <v>67</v>
      </c>
      <c r="B70">
        <v>1.7675652615648374</v>
      </c>
    </row>
    <row r="71" spans="1:2" ht="15.75" thickBot="1" x14ac:dyDescent="0.3">
      <c r="A71" s="2" t="s">
        <v>68</v>
      </c>
      <c r="B71">
        <v>2.117732993195335</v>
      </c>
    </row>
    <row r="72" spans="1:2" ht="15.75" thickBot="1" x14ac:dyDescent="0.3">
      <c r="A72" s="2"/>
      <c r="B72" s="3"/>
    </row>
    <row r="73" spans="1:2" ht="15.75" thickBot="1" x14ac:dyDescent="0.3">
      <c r="A73" s="2"/>
      <c r="B73" s="3"/>
    </row>
    <row r="74" spans="1:2" ht="15.75" thickBot="1" x14ac:dyDescent="0.3">
      <c r="A74" s="2"/>
      <c r="B74" s="3"/>
    </row>
    <row r="75" spans="1:2" ht="15.75" thickBot="1" x14ac:dyDescent="0.3">
      <c r="A75" s="2"/>
      <c r="B75" s="3"/>
    </row>
    <row r="76" spans="1:2" ht="15.75" thickBot="1" x14ac:dyDescent="0.3">
      <c r="A76" s="2"/>
    </row>
    <row r="77" spans="1:2" ht="15.75" thickBot="1" x14ac:dyDescent="0.3">
      <c r="A77" s="2"/>
    </row>
    <row r="78" spans="1:2" ht="15.75" thickBot="1" x14ac:dyDescent="0.3">
      <c r="A78" s="2"/>
    </row>
    <row r="79" spans="1:2" ht="15.75" thickBot="1" x14ac:dyDescent="0.3">
      <c r="A79" s="2"/>
    </row>
    <row r="80" spans="1:2" ht="15.75" thickBot="1" x14ac:dyDescent="0.3">
      <c r="A80" s="2"/>
    </row>
    <row r="81" spans="1:1" ht="15.75" thickBot="1" x14ac:dyDescent="0.3">
      <c r="A81" s="2"/>
    </row>
    <row r="82" spans="1:1" ht="15.75" thickBot="1" x14ac:dyDescent="0.3">
      <c r="A82" s="2"/>
    </row>
    <row r="83" spans="1:1" ht="15.75" thickBot="1" x14ac:dyDescent="0.3">
      <c r="A83" s="2"/>
    </row>
    <row r="84" spans="1:1" ht="15.75" thickBot="1" x14ac:dyDescent="0.3">
      <c r="A84" s="2"/>
    </row>
    <row r="85" spans="1:1" ht="15.75" thickBot="1" x14ac:dyDescent="0.3">
      <c r="A85" s="2"/>
    </row>
    <row r="86" spans="1:1" ht="15.75" thickBot="1" x14ac:dyDescent="0.3">
      <c r="A86" s="2"/>
    </row>
    <row r="87" spans="1:1" ht="15.75" thickBot="1" x14ac:dyDescent="0.3">
      <c r="A87" s="2"/>
    </row>
    <row r="88" spans="1:1" ht="15.75" thickBot="1" x14ac:dyDescent="0.3">
      <c r="A88" s="2"/>
    </row>
    <row r="89" spans="1:1" ht="15.75" thickBot="1" x14ac:dyDescent="0.3">
      <c r="A89" s="2"/>
    </row>
    <row r="90" spans="1:1" ht="15.75" thickBot="1" x14ac:dyDescent="0.3">
      <c r="A90" s="2"/>
    </row>
    <row r="91" spans="1:1" ht="15.75" thickBot="1" x14ac:dyDescent="0.3">
      <c r="A91" s="2"/>
    </row>
    <row r="92" spans="1:1" ht="15.75" thickBot="1" x14ac:dyDescent="0.3">
      <c r="A92" s="2"/>
    </row>
    <row r="93" spans="1:1" ht="15.75" thickBot="1" x14ac:dyDescent="0.3">
      <c r="A93" s="2"/>
    </row>
    <row r="94" spans="1:1" ht="15.75" thickBot="1" x14ac:dyDescent="0.3">
      <c r="A94" s="2"/>
    </row>
    <row r="95" spans="1:1" ht="15.75" thickBot="1" x14ac:dyDescent="0.3">
      <c r="A95" s="2"/>
    </row>
    <row r="96" spans="1:1" ht="15.75" thickBot="1" x14ac:dyDescent="0.3">
      <c r="A96" s="2"/>
    </row>
    <row r="97" spans="1:1" ht="15.75" thickBot="1" x14ac:dyDescent="0.3">
      <c r="A97" s="2"/>
    </row>
  </sheetData>
  <autoFilter ref="A1:C1" xr:uid="{FD844F88-0437-4AC7-8BF0-42F4B3B8AFD0}">
    <sortState xmlns:xlrd2="http://schemas.microsoft.com/office/spreadsheetml/2017/richdata2" ref="A2:C7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Liel Uziahu</dc:creator>
  <cp:lastModifiedBy>Liel Uziahu</cp:lastModifiedBy>
  <dcterms:created xsi:type="dcterms:W3CDTF">2015-06-05T18:17:20Z</dcterms:created>
  <dcterms:modified xsi:type="dcterms:W3CDTF">2025-05-17T19:46:48Z</dcterms:modified>
</cp:coreProperties>
</file>