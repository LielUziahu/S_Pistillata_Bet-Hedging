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CSMS_CBP_MassLab\Liel Uziahu\Stylophora pistillata\Physiology\Resperation\2025\14052025\"/>
    </mc:Choice>
  </mc:AlternateContent>
  <xr:revisionPtr revIDLastSave="0" documentId="13_ncr:1_{4F815CCF-D42A-45D3-A848-D2141CB71D5A}" xr6:coauthVersionLast="47" xr6:coauthVersionMax="47" xr10:uidLastSave="{00000000-0000-0000-0000-000000000000}"/>
  <bookViews>
    <workbookView xWindow="-120" yWindow="-120" windowWidth="38640" windowHeight="21120" xr2:uid="{15376F47-1473-43AF-A1C8-4825EFBBA199}"/>
  </bookViews>
  <sheets>
    <sheet name="Oxygen Orginal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0" i="2" l="1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C80" i="2"/>
  <c r="AC78" i="2"/>
  <c r="D78" i="2"/>
  <c r="E78" i="2"/>
  <c r="F78" i="2"/>
  <c r="G78" i="2"/>
  <c r="H78" i="2"/>
  <c r="I78" i="2"/>
  <c r="J78" i="2"/>
  <c r="K78" i="2"/>
  <c r="L78" i="2"/>
  <c r="M78" i="2"/>
  <c r="N78" i="2"/>
  <c r="O78" i="2"/>
  <c r="O79" i="2" s="1"/>
  <c r="P78" i="2"/>
  <c r="Q78" i="2"/>
  <c r="Q79" i="2" s="1"/>
  <c r="R78" i="2"/>
  <c r="R79" i="2" s="1"/>
  <c r="S78" i="2"/>
  <c r="S79" i="2" s="1"/>
  <c r="T78" i="2"/>
  <c r="U78" i="2"/>
  <c r="V78" i="2"/>
  <c r="W78" i="2"/>
  <c r="W79" i="2" s="1"/>
  <c r="X78" i="2"/>
  <c r="X79" i="2" s="1"/>
  <c r="Y78" i="2"/>
  <c r="Y79" i="2" s="1"/>
  <c r="Z78" i="2"/>
  <c r="Z79" i="2" s="1"/>
  <c r="C78" i="2"/>
  <c r="C79" i="2" s="1"/>
  <c r="V79" i="2"/>
  <c r="U79" i="2"/>
  <c r="T79" i="2"/>
  <c r="P79" i="2"/>
  <c r="N79" i="2"/>
  <c r="M79" i="2"/>
  <c r="L79" i="2"/>
  <c r="K79" i="2"/>
  <c r="J79" i="2"/>
  <c r="I79" i="2"/>
  <c r="H79" i="2"/>
  <c r="G79" i="2"/>
  <c r="F79" i="2"/>
  <c r="E79" i="2"/>
  <c r="D79" i="2"/>
</calcChain>
</file>

<file path=xl/sharedStrings.xml><?xml version="1.0" encoding="utf-8"?>
<sst xmlns="http://schemas.openxmlformats.org/spreadsheetml/2006/main" count="144" uniqueCount="142">
  <si>
    <t>Measurement Name :</t>
  </si>
  <si>
    <t>20250514_plateC</t>
  </si>
  <si>
    <t>Generated On :</t>
  </si>
  <si>
    <t>14/05/2025, 14:50:24</t>
  </si>
  <si>
    <t>Start Date/Time:</t>
  </si>
  <si>
    <t>14/05/2025, 14:34:44</t>
  </si>
  <si>
    <t>End Date/Time:</t>
  </si>
  <si>
    <t>14/05/2025, 14:50:02</t>
  </si>
  <si>
    <t>User Comment :</t>
  </si>
  <si>
    <t>Meas. Created By :</t>
  </si>
  <si>
    <t>admin</t>
  </si>
  <si>
    <t>SDR Serial No. :</t>
  </si>
  <si>
    <t>S-819</t>
  </si>
  <si>
    <t>Report :</t>
  </si>
  <si>
    <t>@m01:IDENTIFICATION
_x000D_Serial number     : SEBX0008000819      
_x000D_MUX channel       : ON - 01
_x000D_
_x000D_PARAMETERS
_x000D_Sig LED current   : 040
_x000D_Ref LED current   : 043
_x000D_Frequency         : 060
_x000D_Sending interval  : 0000
_x000D_Pulse lenght      : 06
_x000D_Red REF comp.     : ON
_x000D_Temperature comp. : ON
_x000D_
_x000D_FIRMWARE
_x000D_ver.4.039.A3.ST   : 04/30/07, 09:14:36
_x000D_@m01:RDY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</si>
  <si>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</si>
  <si>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</si>
  <si>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</si>
  <si>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[µmol/L]]</t>
  </si>
  <si>
    <t xml:space="preserve">Batch No.:  </t>
  </si>
  <si>
    <t>PSt5-1624-01_25°C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</si>
  <si>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</si>
  <si>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</si>
  <si>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</si>
  <si>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</si>
  <si>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</si>
  <si>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</si>
  <si>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</si>
  <si>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</si>
  <si>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</si>
  <si>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</si>
  <si>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</si>
  <si>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</si>
  <si>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</si>
  <si>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</si>
  <si>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</si>
  <si>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</si>
  <si>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</si>
  <si>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</si>
  <si>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</si>
  <si>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</si>
  <si>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</si>
  <si>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</si>
  <si>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</si>
  <si>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</si>
  <si>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</si>
  <si>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</si>
  <si>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</si>
  <si>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</si>
  <si>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</si>
  <si>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</si>
  <si>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</si>
  <si>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</si>
  <si>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</si>
  <si>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</si>
  <si>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</si>
  <si>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</si>
  <si>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</si>
  <si>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</si>
  <si>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14.05.25 14:34:46</t>
  </si>
  <si>
    <t>14.05.25 14:35:01</t>
  </si>
  <si>
    <t>14.05.25 14:35:16</t>
  </si>
  <si>
    <t>14.05.25 14:35:31</t>
  </si>
  <si>
    <t>14.05.25 14:35:46</t>
  </si>
  <si>
    <t>14.05.25 14:36:01</t>
  </si>
  <si>
    <t>14.05.25 14:36:16</t>
  </si>
  <si>
    <t>14.05.25 14:36:31</t>
  </si>
  <si>
    <t>14.05.25 14:36:46</t>
  </si>
  <si>
    <t>14.05.25 14:37:01</t>
  </si>
  <si>
    <t>14.05.25 14:37:17</t>
  </si>
  <si>
    <t>14.05.25 14:37:32</t>
  </si>
  <si>
    <t>14.05.25 14:37:47</t>
  </si>
  <si>
    <t>14.05.25 14:38:02</t>
  </si>
  <si>
    <t>14.05.25 14:38:17</t>
  </si>
  <si>
    <t>14.05.25 14:38:32</t>
  </si>
  <si>
    <t>14.05.25 14:38:47</t>
  </si>
  <si>
    <t>14.05.25 14:39:02</t>
  </si>
  <si>
    <t>14.05.25 14:39:17</t>
  </si>
  <si>
    <t>14.05.25 14:39:32</t>
  </si>
  <si>
    <t>14.05.25 14:39:47</t>
  </si>
  <si>
    <t>14.05.25 14:40:02</t>
  </si>
  <si>
    <t>14.05.25 14:40:18</t>
  </si>
  <si>
    <t>14.05.25 14:40:33</t>
  </si>
  <si>
    <t>14.05.25 14:40:48</t>
  </si>
  <si>
    <t>14.05.25 14:41:03</t>
  </si>
  <si>
    <t>14.05.25 14:41:18</t>
  </si>
  <si>
    <t>14.05.25 14:41:33</t>
  </si>
  <si>
    <t>14.05.25 14:41:48</t>
  </si>
  <si>
    <t>14.05.25 14:42:03</t>
  </si>
  <si>
    <t>14.05.25 14:42:19</t>
  </si>
  <si>
    <t>14.05.25 14:42:34</t>
  </si>
  <si>
    <t>14.05.25 14:42:49</t>
  </si>
  <si>
    <t>14.05.25 14:43:04</t>
  </si>
  <si>
    <t>14.05.25 14:43:19</t>
  </si>
  <si>
    <t>14.05.25 14:43:34</t>
  </si>
  <si>
    <t>14.05.25 14:43:49</t>
  </si>
  <si>
    <t>14.05.25 14:44:04</t>
  </si>
  <si>
    <t>14.05.25 14:44:19</t>
  </si>
  <si>
    <t>14.05.25 14:44:34</t>
  </si>
  <si>
    <t>14.05.25 14:44:49</t>
  </si>
  <si>
    <t>14.05.25 14:45:05</t>
  </si>
  <si>
    <t>14.05.25 14:45:20</t>
  </si>
  <si>
    <t>14.05.25 14:45:35</t>
  </si>
  <si>
    <t>14.05.25 14:45:50</t>
  </si>
  <si>
    <t>14.05.25 14:46:05</t>
  </si>
  <si>
    <t>14.05.25 14:46:20</t>
  </si>
  <si>
    <t>14.05.25 14:46:35</t>
  </si>
  <si>
    <t>14.05.25 14:46:50</t>
  </si>
  <si>
    <t>14.05.25 14:47:05</t>
  </si>
  <si>
    <t>14.05.25 14:47:20</t>
  </si>
  <si>
    <t>14.05.25 14:47:35</t>
  </si>
  <si>
    <t>14.05.25 14:47:50</t>
  </si>
  <si>
    <t>14.05.25 14:48:05</t>
  </si>
  <si>
    <t>14.05.25 14:48:20</t>
  </si>
  <si>
    <t>14.05.25 14:48:35</t>
  </si>
  <si>
    <t>14.05.25 14:48:50</t>
  </si>
  <si>
    <t>14.05.25 14:49:05</t>
  </si>
  <si>
    <t>14.05.25 14:49:20</t>
  </si>
  <si>
    <t>14.05.25 14:49:35</t>
  </si>
  <si>
    <t>14.05.25 14:49:50</t>
  </si>
  <si>
    <t>BLNK AVERAGE</t>
  </si>
  <si>
    <t>Slope</t>
  </si>
  <si>
    <t>Posetiving</t>
  </si>
  <si>
    <t>WithoutBlank</t>
  </si>
  <si>
    <t>plateC_NF_7.6_1</t>
  </si>
  <si>
    <t>plateC_HF_8.2_1</t>
  </si>
  <si>
    <t>plateC_HF_8.2_6</t>
  </si>
  <si>
    <t>plateC_HF_8.2_10</t>
  </si>
  <si>
    <t>plateC_NF_7.6_2</t>
  </si>
  <si>
    <t>plateC_HF_8.2_2</t>
  </si>
  <si>
    <t>plateC_HF_8.2_7</t>
  </si>
  <si>
    <t>plateC_HF_8.2_11</t>
  </si>
  <si>
    <t>plateC_NF_7.6_3</t>
  </si>
  <si>
    <t>plateC_HF_8.2_3</t>
  </si>
  <si>
    <t>plateC_HF_8.2_12</t>
  </si>
  <si>
    <t>plateC_NF_7.6_4</t>
  </si>
  <si>
    <t>plateC_HF_8.2_4</t>
  </si>
  <si>
    <t>plateC_HF_8.2_13</t>
  </si>
  <si>
    <t>plateC_HF_8.2_8</t>
  </si>
  <si>
    <t>plateC_HF_8.2_14</t>
  </si>
  <si>
    <t>plateC_HF_8.2_5</t>
  </si>
  <si>
    <t>plateC_HF_8.2_9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</si>
</sst>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7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DD658-AD5B-49BB-BD4A-9FFC2A90F12C}">
  <dimension ref="A1:AF82"/>
  <sheetViews>
    <sheetView tabSelected="1" topLeftCell="A13" workbookViewId="0">
      <pane ySplit="1" topLeftCell="A50" activePane="bottomLeft" state="frozen"/>
      <selection activeCell="A13" sqref="A13"/>
      <selection pane="bottomLeft" activeCell="C82" sqref="C82:Z82"/>
    </sheetView>
  </sheetViews>
  <sheetFormatPr defaultRowHeight="15" x14ac:dyDescent="0.25"/>
  <sheetData>
    <row r="1" spans="1:32" hidden="1" x14ac:dyDescent="0.2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t="s">
        <v>14</v>
      </c>
      <c r="N1" t="s">
        <v>15</v>
      </c>
      <c r="O1" t="s">
        <v>16</v>
      </c>
    </row>
    <row r="2" spans="1:32" hidden="1" x14ac:dyDescent="0.25">
      <c r="A2" t="s">
        <v>4</v>
      </c>
      <c r="B2" t="s">
        <v>5</v>
      </c>
      <c r="H2" t="s">
        <v>19</v>
      </c>
      <c r="I2" t="s">
        <v>20</v>
      </c>
    </row>
    <row r="3" spans="1:32" hidden="1" x14ac:dyDescent="0.25">
      <c r="A3" t="s">
        <v>6</v>
      </c>
      <c r="B3" t="s">
        <v>7</v>
      </c>
      <c r="H3" t="s">
        <v>22</v>
      </c>
      <c r="I3">
        <v>54.76</v>
      </c>
    </row>
    <row r="4" spans="1:32" hidden="1" x14ac:dyDescent="0.25">
      <c r="A4" t="s">
        <v>8</v>
      </c>
      <c r="B4">
        <v>0</v>
      </c>
      <c r="D4" t="s">
        <v>9</v>
      </c>
      <c r="E4" t="s">
        <v>10</v>
      </c>
      <c r="H4" t="s">
        <v>23</v>
      </c>
      <c r="I4">
        <v>47.47</v>
      </c>
    </row>
    <row r="5" spans="1:32" hidden="1" x14ac:dyDescent="0.25">
      <c r="A5" t="s">
        <v>11</v>
      </c>
      <c r="B5" t="s">
        <v>12</v>
      </c>
      <c r="H5" t="s">
        <v>24</v>
      </c>
      <c r="I5">
        <v>24.8</v>
      </c>
    </row>
    <row r="6" spans="1:32" hidden="1" x14ac:dyDescent="0.25">
      <c r="A6" t="s">
        <v>17</v>
      </c>
      <c r="B6" t="s">
        <v>18</v>
      </c>
      <c r="H6" t="s">
        <v>25</v>
      </c>
      <c r="I6">
        <v>24.8</v>
      </c>
    </row>
    <row r="7" spans="1:32" hidden="1" x14ac:dyDescent="0.25">
      <c r="H7" t="s">
        <v>26</v>
      </c>
      <c r="I7">
        <v>965</v>
      </c>
    </row>
    <row r="8" spans="1:32" hidden="1" x14ac:dyDescent="0.25">
      <c r="H8" t="s">
        <v>27</v>
      </c>
      <c r="I8">
        <v>100</v>
      </c>
    </row>
    <row r="9" spans="1:32" hidden="1" x14ac:dyDescent="0.25"/>
    <row r="10" spans="1:32" hidden="1" x14ac:dyDescent="0.25"/>
    <row r="11" spans="1:32" hidden="1" x14ac:dyDescent="0.25"/>
    <row r="12" spans="1:32" hidden="1" x14ac:dyDescent="0.25"/>
    <row r="13" spans="1:32" x14ac:dyDescent="0.2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25">
      <c r="A14" t="s">
        <v>59</v>
      </c>
      <c r="B14">
        <v>0.03</v>
      </c>
      <c r="C14">
        <v>193.35</v>
      </c>
      <c r="D14">
        <v>205.51</v>
      </c>
      <c r="E14">
        <v>209.6</v>
      </c>
      <c r="F14">
        <v>206.25</v>
      </c>
      <c r="G14">
        <v>174.53</v>
      </c>
      <c r="H14">
        <v>200.7</v>
      </c>
      <c r="I14">
        <v>188.61</v>
      </c>
      <c r="J14">
        <v>164.57</v>
      </c>
      <c r="K14">
        <v>132.29</v>
      </c>
      <c r="L14">
        <v>182.44</v>
      </c>
      <c r="M14">
        <v>209.98</v>
      </c>
      <c r="N14">
        <v>208.86</v>
      </c>
      <c r="O14">
        <v>175.61</v>
      </c>
      <c r="P14">
        <v>174.89</v>
      </c>
      <c r="Q14">
        <v>212.59</v>
      </c>
      <c r="R14">
        <v>184.61</v>
      </c>
      <c r="S14">
        <v>202.18</v>
      </c>
      <c r="T14">
        <v>207.74</v>
      </c>
      <c r="U14">
        <v>207.37</v>
      </c>
      <c r="V14">
        <v>194.08</v>
      </c>
      <c r="W14">
        <v>201.44</v>
      </c>
      <c r="X14">
        <v>192.98</v>
      </c>
      <c r="Y14">
        <v>211.1</v>
      </c>
      <c r="Z14">
        <v>213.71</v>
      </c>
      <c r="AB14">
        <v>25</v>
      </c>
      <c r="AC14">
        <v>965</v>
      </c>
      <c r="AD14">
        <v>0</v>
      </c>
      <c r="AE14">
        <v>21.52</v>
      </c>
    </row>
    <row r="15" spans="1:32" x14ac:dyDescent="0.25">
      <c r="A15" t="s">
        <v>60</v>
      </c>
      <c r="B15">
        <v>0.28000000000000003</v>
      </c>
      <c r="C15">
        <v>192.98</v>
      </c>
      <c r="D15">
        <v>204.4</v>
      </c>
      <c r="E15">
        <v>209.6</v>
      </c>
      <c r="F15">
        <v>205.88</v>
      </c>
      <c r="G15">
        <v>172.74</v>
      </c>
      <c r="H15">
        <v>199.59</v>
      </c>
      <c r="I15">
        <v>186.79</v>
      </c>
      <c r="J15">
        <v>160.33000000000001</v>
      </c>
      <c r="K15">
        <v>129.57</v>
      </c>
      <c r="L15">
        <v>180.64</v>
      </c>
      <c r="M15">
        <v>209.6</v>
      </c>
      <c r="N15">
        <v>207</v>
      </c>
      <c r="O15">
        <v>173.82</v>
      </c>
      <c r="P15">
        <v>173.46</v>
      </c>
      <c r="Q15">
        <v>212.22</v>
      </c>
      <c r="R15">
        <v>181</v>
      </c>
      <c r="S15">
        <v>202.18</v>
      </c>
      <c r="T15">
        <v>207.37</v>
      </c>
      <c r="U15">
        <v>207</v>
      </c>
      <c r="V15">
        <v>192.62</v>
      </c>
      <c r="W15">
        <v>201.44</v>
      </c>
      <c r="X15">
        <v>191.89</v>
      </c>
      <c r="Y15">
        <v>210.35</v>
      </c>
      <c r="Z15">
        <v>214.84</v>
      </c>
      <c r="AB15">
        <v>25</v>
      </c>
      <c r="AC15">
        <v>965</v>
      </c>
      <c r="AD15">
        <v>0</v>
      </c>
      <c r="AE15">
        <v>21.54</v>
      </c>
    </row>
    <row r="16" spans="1:32" x14ac:dyDescent="0.25">
      <c r="A16" t="s">
        <v>61</v>
      </c>
      <c r="B16">
        <v>0.53</v>
      </c>
      <c r="C16">
        <v>191.16</v>
      </c>
      <c r="D16">
        <v>204.03</v>
      </c>
      <c r="E16">
        <v>208.86</v>
      </c>
      <c r="F16">
        <v>205.14</v>
      </c>
      <c r="G16">
        <v>172.03</v>
      </c>
      <c r="H16">
        <v>198.86</v>
      </c>
      <c r="I16">
        <v>186.06</v>
      </c>
      <c r="J16">
        <v>156.47</v>
      </c>
      <c r="K16">
        <v>126.86</v>
      </c>
      <c r="L16">
        <v>179.2</v>
      </c>
      <c r="M16">
        <v>208.86</v>
      </c>
      <c r="N16">
        <v>205.88</v>
      </c>
      <c r="O16">
        <v>172.39</v>
      </c>
      <c r="P16">
        <v>171.32</v>
      </c>
      <c r="Q16">
        <v>211.1</v>
      </c>
      <c r="R16">
        <v>178.12</v>
      </c>
      <c r="S16">
        <v>201.81</v>
      </c>
      <c r="T16">
        <v>206.62</v>
      </c>
      <c r="U16">
        <v>206.25</v>
      </c>
      <c r="V16">
        <v>190.79</v>
      </c>
      <c r="W16">
        <v>200.33</v>
      </c>
      <c r="X16">
        <v>190.79</v>
      </c>
      <c r="Y16">
        <v>209.23</v>
      </c>
      <c r="Z16">
        <v>214.09</v>
      </c>
      <c r="AB16">
        <v>25</v>
      </c>
      <c r="AC16">
        <v>965</v>
      </c>
      <c r="AD16">
        <v>0</v>
      </c>
      <c r="AE16">
        <v>21.56</v>
      </c>
    </row>
    <row r="17" spans="1:31" x14ac:dyDescent="0.25">
      <c r="A17" t="s">
        <v>62</v>
      </c>
      <c r="B17">
        <v>0.78</v>
      </c>
      <c r="C17">
        <v>191.52</v>
      </c>
      <c r="D17">
        <v>204.03</v>
      </c>
      <c r="E17">
        <v>208.11</v>
      </c>
      <c r="F17">
        <v>204.77</v>
      </c>
      <c r="G17">
        <v>170.6</v>
      </c>
      <c r="H17">
        <v>197.75</v>
      </c>
      <c r="I17">
        <v>184.97</v>
      </c>
      <c r="J17">
        <v>152.62</v>
      </c>
      <c r="K17">
        <v>125.51</v>
      </c>
      <c r="L17">
        <v>179.56</v>
      </c>
      <c r="M17">
        <v>208.86</v>
      </c>
      <c r="N17">
        <v>205.88</v>
      </c>
      <c r="O17">
        <v>170.6</v>
      </c>
      <c r="P17">
        <v>170.25</v>
      </c>
      <c r="Q17">
        <v>209.98</v>
      </c>
      <c r="R17">
        <v>175.61</v>
      </c>
      <c r="S17">
        <v>201.07</v>
      </c>
      <c r="T17">
        <v>207</v>
      </c>
      <c r="U17">
        <v>205.51</v>
      </c>
      <c r="V17">
        <v>189.33</v>
      </c>
      <c r="W17">
        <v>199.96</v>
      </c>
      <c r="X17">
        <v>190.43</v>
      </c>
      <c r="Y17">
        <v>209.23</v>
      </c>
      <c r="Z17">
        <v>214.46</v>
      </c>
      <c r="AB17">
        <v>25</v>
      </c>
      <c r="AC17">
        <v>965</v>
      </c>
      <c r="AD17">
        <v>0</v>
      </c>
      <c r="AE17">
        <v>21.58</v>
      </c>
    </row>
    <row r="18" spans="1:31" x14ac:dyDescent="0.25">
      <c r="A18" t="s">
        <v>63</v>
      </c>
      <c r="B18">
        <v>1.03</v>
      </c>
      <c r="C18">
        <v>190.43</v>
      </c>
      <c r="D18">
        <v>202.55</v>
      </c>
      <c r="E18">
        <v>207</v>
      </c>
      <c r="F18">
        <v>204.4</v>
      </c>
      <c r="G18">
        <v>168.82</v>
      </c>
      <c r="H18">
        <v>197.02</v>
      </c>
      <c r="I18">
        <v>183.16</v>
      </c>
      <c r="J18">
        <v>150.19</v>
      </c>
      <c r="K18">
        <v>123.15</v>
      </c>
      <c r="L18">
        <v>177.4</v>
      </c>
      <c r="M18">
        <v>208.86</v>
      </c>
      <c r="N18">
        <v>203.29</v>
      </c>
      <c r="O18">
        <v>169.18</v>
      </c>
      <c r="P18">
        <v>169.18</v>
      </c>
      <c r="Q18">
        <v>209.23</v>
      </c>
      <c r="R18">
        <v>173.1</v>
      </c>
      <c r="S18">
        <v>200.7</v>
      </c>
      <c r="T18">
        <v>206.62</v>
      </c>
      <c r="U18">
        <v>203.66</v>
      </c>
      <c r="V18">
        <v>187.15</v>
      </c>
      <c r="W18">
        <v>200.33</v>
      </c>
      <c r="X18">
        <v>188.24</v>
      </c>
      <c r="Y18">
        <v>208.48</v>
      </c>
      <c r="Z18">
        <v>214.09</v>
      </c>
      <c r="AB18">
        <v>25</v>
      </c>
      <c r="AC18">
        <v>965</v>
      </c>
      <c r="AD18">
        <v>0</v>
      </c>
      <c r="AE18">
        <v>21.58</v>
      </c>
    </row>
    <row r="19" spans="1:31" x14ac:dyDescent="0.25">
      <c r="A19" t="s">
        <v>64</v>
      </c>
      <c r="B19">
        <v>1.28</v>
      </c>
      <c r="C19">
        <v>189.7</v>
      </c>
      <c r="D19">
        <v>202.18</v>
      </c>
      <c r="E19">
        <v>207</v>
      </c>
      <c r="F19">
        <v>204.4</v>
      </c>
      <c r="G19">
        <v>166.34</v>
      </c>
      <c r="H19">
        <v>196.65</v>
      </c>
      <c r="I19">
        <v>182.44</v>
      </c>
      <c r="J19">
        <v>146.37</v>
      </c>
      <c r="K19">
        <v>121.13</v>
      </c>
      <c r="L19">
        <v>176.32</v>
      </c>
      <c r="M19">
        <v>208.11</v>
      </c>
      <c r="N19">
        <v>203.29</v>
      </c>
      <c r="O19">
        <v>167.76</v>
      </c>
      <c r="P19">
        <v>168.11</v>
      </c>
      <c r="Q19">
        <v>208.48</v>
      </c>
      <c r="R19">
        <v>170.6</v>
      </c>
      <c r="S19">
        <v>201.44</v>
      </c>
      <c r="T19">
        <v>205.88</v>
      </c>
      <c r="U19">
        <v>204.03</v>
      </c>
      <c r="V19">
        <v>185.7</v>
      </c>
      <c r="W19">
        <v>200.33</v>
      </c>
      <c r="X19">
        <v>187.51</v>
      </c>
      <c r="Y19">
        <v>209.23</v>
      </c>
      <c r="Z19">
        <v>213.34</v>
      </c>
      <c r="AB19">
        <v>25</v>
      </c>
      <c r="AC19">
        <v>965</v>
      </c>
      <c r="AD19">
        <v>0</v>
      </c>
      <c r="AE19">
        <v>21.58</v>
      </c>
    </row>
    <row r="20" spans="1:31" x14ac:dyDescent="0.25">
      <c r="A20" t="s">
        <v>65</v>
      </c>
      <c r="B20">
        <v>1.53</v>
      </c>
      <c r="C20">
        <v>188.97</v>
      </c>
      <c r="D20">
        <v>201.44</v>
      </c>
      <c r="E20">
        <v>206.25</v>
      </c>
      <c r="F20">
        <v>203.29</v>
      </c>
      <c r="G20">
        <v>165.63</v>
      </c>
      <c r="H20">
        <v>195.91</v>
      </c>
      <c r="I20">
        <v>181.72</v>
      </c>
      <c r="J20">
        <v>143.94999999999999</v>
      </c>
      <c r="K20">
        <v>119.11</v>
      </c>
      <c r="L20">
        <v>175.25</v>
      </c>
      <c r="M20">
        <v>208.11</v>
      </c>
      <c r="N20">
        <v>202.55</v>
      </c>
      <c r="O20">
        <v>166.34</v>
      </c>
      <c r="P20">
        <v>166.69</v>
      </c>
      <c r="Q20">
        <v>207.37</v>
      </c>
      <c r="R20">
        <v>167.4</v>
      </c>
      <c r="S20">
        <v>201.44</v>
      </c>
      <c r="T20">
        <v>206.62</v>
      </c>
      <c r="U20">
        <v>202.55</v>
      </c>
      <c r="V20">
        <v>185.34</v>
      </c>
      <c r="W20">
        <v>198.12</v>
      </c>
      <c r="X20">
        <v>187.15</v>
      </c>
      <c r="Y20">
        <v>208.86</v>
      </c>
      <c r="Z20">
        <v>214.09</v>
      </c>
      <c r="AB20">
        <v>25</v>
      </c>
      <c r="AC20">
        <v>965</v>
      </c>
      <c r="AD20">
        <v>0</v>
      </c>
      <c r="AE20">
        <v>21.59</v>
      </c>
    </row>
    <row r="21" spans="1:31" x14ac:dyDescent="0.25">
      <c r="A21" t="s">
        <v>66</v>
      </c>
      <c r="B21">
        <v>1.78</v>
      </c>
      <c r="C21">
        <v>188.24</v>
      </c>
      <c r="D21">
        <v>200.7</v>
      </c>
      <c r="E21">
        <v>205.14</v>
      </c>
      <c r="F21">
        <v>203.29</v>
      </c>
      <c r="G21">
        <v>164.21</v>
      </c>
      <c r="H21">
        <v>194.45</v>
      </c>
      <c r="I21">
        <v>180.64</v>
      </c>
      <c r="J21">
        <v>141.54</v>
      </c>
      <c r="K21">
        <v>117.77</v>
      </c>
      <c r="L21">
        <v>175.25</v>
      </c>
      <c r="M21">
        <v>207</v>
      </c>
      <c r="N21">
        <v>201.81</v>
      </c>
      <c r="O21">
        <v>164.57</v>
      </c>
      <c r="P21">
        <v>165.63</v>
      </c>
      <c r="Q21">
        <v>207.74</v>
      </c>
      <c r="R21">
        <v>165.28</v>
      </c>
      <c r="S21">
        <v>199.59</v>
      </c>
      <c r="T21">
        <v>205.88</v>
      </c>
      <c r="U21">
        <v>202.55</v>
      </c>
      <c r="V21">
        <v>182.8</v>
      </c>
      <c r="W21">
        <v>199.59</v>
      </c>
      <c r="X21">
        <v>184.61</v>
      </c>
      <c r="Y21">
        <v>208.48</v>
      </c>
      <c r="Z21">
        <v>213.71</v>
      </c>
      <c r="AB21">
        <v>25</v>
      </c>
      <c r="AC21">
        <v>965</v>
      </c>
      <c r="AD21">
        <v>0</v>
      </c>
      <c r="AE21">
        <v>21.59</v>
      </c>
    </row>
    <row r="22" spans="1:31" x14ac:dyDescent="0.25">
      <c r="A22" t="s">
        <v>67</v>
      </c>
      <c r="B22">
        <v>2.0299999999999998</v>
      </c>
      <c r="C22">
        <v>187.51</v>
      </c>
      <c r="D22">
        <v>199.96</v>
      </c>
      <c r="E22">
        <v>203.66</v>
      </c>
      <c r="F22">
        <v>203.29</v>
      </c>
      <c r="G22">
        <v>162.44999999999999</v>
      </c>
      <c r="H22">
        <v>194.08</v>
      </c>
      <c r="I22">
        <v>180.28</v>
      </c>
      <c r="J22">
        <v>139.13</v>
      </c>
      <c r="K22">
        <v>115.77</v>
      </c>
      <c r="L22">
        <v>174.17</v>
      </c>
      <c r="M22">
        <v>207</v>
      </c>
      <c r="N22">
        <v>199.96</v>
      </c>
      <c r="O22">
        <v>162.80000000000001</v>
      </c>
      <c r="P22">
        <v>164.92</v>
      </c>
      <c r="Q22">
        <v>207</v>
      </c>
      <c r="R22">
        <v>163.51</v>
      </c>
      <c r="S22">
        <v>199.96</v>
      </c>
      <c r="T22">
        <v>206.25</v>
      </c>
      <c r="U22">
        <v>202.18</v>
      </c>
      <c r="V22">
        <v>182.8</v>
      </c>
      <c r="W22">
        <v>199.96</v>
      </c>
      <c r="X22">
        <v>184.61</v>
      </c>
      <c r="Y22">
        <v>208.48</v>
      </c>
      <c r="Z22">
        <v>214.09</v>
      </c>
      <c r="AB22">
        <v>25</v>
      </c>
      <c r="AC22">
        <v>965</v>
      </c>
      <c r="AD22">
        <v>0</v>
      </c>
      <c r="AE22">
        <v>21.59</v>
      </c>
    </row>
    <row r="23" spans="1:31" x14ac:dyDescent="0.25">
      <c r="A23" t="s">
        <v>68</v>
      </c>
      <c r="B23">
        <v>2.2799999999999998</v>
      </c>
      <c r="C23">
        <v>186.79</v>
      </c>
      <c r="D23">
        <v>198.86</v>
      </c>
      <c r="E23">
        <v>204.03</v>
      </c>
      <c r="F23">
        <v>201.81</v>
      </c>
      <c r="G23">
        <v>161.38999999999999</v>
      </c>
      <c r="H23">
        <v>192.98</v>
      </c>
      <c r="I23">
        <v>178.84</v>
      </c>
      <c r="J23">
        <v>135.36000000000001</v>
      </c>
      <c r="K23">
        <v>114.43</v>
      </c>
      <c r="L23">
        <v>173.46</v>
      </c>
      <c r="M23">
        <v>206.25</v>
      </c>
      <c r="N23">
        <v>199.59</v>
      </c>
      <c r="O23">
        <v>162.44999999999999</v>
      </c>
      <c r="P23">
        <v>163.15</v>
      </c>
      <c r="Q23">
        <v>204.77</v>
      </c>
      <c r="R23">
        <v>161.38999999999999</v>
      </c>
      <c r="S23">
        <v>199.22</v>
      </c>
      <c r="T23">
        <v>205.88</v>
      </c>
      <c r="U23">
        <v>201.07</v>
      </c>
      <c r="V23">
        <v>180.64</v>
      </c>
      <c r="W23">
        <v>198.86</v>
      </c>
      <c r="X23">
        <v>182.8</v>
      </c>
      <c r="Y23">
        <v>207.74</v>
      </c>
      <c r="Z23">
        <v>212.97</v>
      </c>
      <c r="AB23">
        <v>25</v>
      </c>
      <c r="AC23">
        <v>965</v>
      </c>
      <c r="AD23">
        <v>0</v>
      </c>
      <c r="AE23">
        <v>21.59</v>
      </c>
    </row>
    <row r="24" spans="1:31" x14ac:dyDescent="0.25">
      <c r="A24" t="s">
        <v>69</v>
      </c>
      <c r="B24">
        <v>2.5499999999999998</v>
      </c>
      <c r="C24">
        <v>186.79</v>
      </c>
      <c r="D24">
        <v>198.12</v>
      </c>
      <c r="E24">
        <v>202.55</v>
      </c>
      <c r="F24">
        <v>200.7</v>
      </c>
      <c r="G24">
        <v>160.69</v>
      </c>
      <c r="H24">
        <v>192.62</v>
      </c>
      <c r="I24">
        <v>177.76</v>
      </c>
      <c r="J24">
        <v>133.31</v>
      </c>
      <c r="K24">
        <v>112.77</v>
      </c>
      <c r="L24">
        <v>172.74</v>
      </c>
      <c r="M24">
        <v>207</v>
      </c>
      <c r="N24">
        <v>198.12</v>
      </c>
      <c r="O24">
        <v>160.69</v>
      </c>
      <c r="P24">
        <v>162.09</v>
      </c>
      <c r="Q24">
        <v>204.77</v>
      </c>
      <c r="R24">
        <v>158.93</v>
      </c>
      <c r="S24">
        <v>199.59</v>
      </c>
      <c r="T24">
        <v>205.14</v>
      </c>
      <c r="U24">
        <v>200.33</v>
      </c>
      <c r="V24">
        <v>180.28</v>
      </c>
      <c r="W24">
        <v>197.75</v>
      </c>
      <c r="X24">
        <v>183.53</v>
      </c>
      <c r="Y24">
        <v>208.11</v>
      </c>
      <c r="Z24">
        <v>213.34</v>
      </c>
      <c r="AB24">
        <v>25</v>
      </c>
      <c r="AC24">
        <v>965</v>
      </c>
      <c r="AD24">
        <v>0</v>
      </c>
      <c r="AE24">
        <v>21.59</v>
      </c>
    </row>
    <row r="25" spans="1:31" x14ac:dyDescent="0.25">
      <c r="A25" t="s">
        <v>70</v>
      </c>
      <c r="B25">
        <v>2.8</v>
      </c>
      <c r="C25">
        <v>185.34</v>
      </c>
      <c r="D25">
        <v>197.38</v>
      </c>
      <c r="E25">
        <v>201.81</v>
      </c>
      <c r="F25">
        <v>201.07</v>
      </c>
      <c r="G25">
        <v>159.28</v>
      </c>
      <c r="H25">
        <v>191.89</v>
      </c>
      <c r="I25">
        <v>176.32</v>
      </c>
      <c r="J25">
        <v>131.27000000000001</v>
      </c>
      <c r="K25">
        <v>111.77</v>
      </c>
      <c r="L25">
        <v>171.32</v>
      </c>
      <c r="M25">
        <v>206.62</v>
      </c>
      <c r="N25">
        <v>196.65</v>
      </c>
      <c r="O25">
        <v>158.57</v>
      </c>
      <c r="P25">
        <v>161.04</v>
      </c>
      <c r="Q25">
        <v>204.03</v>
      </c>
      <c r="R25">
        <v>156.82</v>
      </c>
      <c r="S25">
        <v>199.59</v>
      </c>
      <c r="T25">
        <v>205.14</v>
      </c>
      <c r="U25">
        <v>199.59</v>
      </c>
      <c r="V25">
        <v>179.2</v>
      </c>
      <c r="W25">
        <v>198.49</v>
      </c>
      <c r="X25">
        <v>181</v>
      </c>
      <c r="Y25">
        <v>208.11</v>
      </c>
      <c r="Z25">
        <v>213.34</v>
      </c>
      <c r="AB25">
        <v>25</v>
      </c>
      <c r="AC25">
        <v>965</v>
      </c>
      <c r="AD25">
        <v>0</v>
      </c>
      <c r="AE25">
        <v>21.59</v>
      </c>
    </row>
    <row r="26" spans="1:31" x14ac:dyDescent="0.25">
      <c r="A26" t="s">
        <v>71</v>
      </c>
      <c r="B26">
        <v>3.05</v>
      </c>
      <c r="C26">
        <v>184.61</v>
      </c>
      <c r="D26">
        <v>197.75</v>
      </c>
      <c r="E26">
        <v>201.07</v>
      </c>
      <c r="F26">
        <v>200.7</v>
      </c>
      <c r="G26">
        <v>158.57</v>
      </c>
      <c r="H26">
        <v>191.16</v>
      </c>
      <c r="I26">
        <v>175.61</v>
      </c>
      <c r="J26">
        <v>129.91</v>
      </c>
      <c r="K26">
        <v>110.44</v>
      </c>
      <c r="L26">
        <v>172.03</v>
      </c>
      <c r="M26">
        <v>205.51</v>
      </c>
      <c r="N26">
        <v>195.55</v>
      </c>
      <c r="O26">
        <v>158.22</v>
      </c>
      <c r="P26">
        <v>160.69</v>
      </c>
      <c r="Q26">
        <v>203.66</v>
      </c>
      <c r="R26">
        <v>154.37</v>
      </c>
      <c r="S26">
        <v>199.59</v>
      </c>
      <c r="T26">
        <v>205.51</v>
      </c>
      <c r="U26">
        <v>198.49</v>
      </c>
      <c r="V26">
        <v>177.76</v>
      </c>
      <c r="W26">
        <v>197.02</v>
      </c>
      <c r="X26">
        <v>180.64</v>
      </c>
      <c r="Y26">
        <v>207.74</v>
      </c>
      <c r="Z26">
        <v>212.22</v>
      </c>
      <c r="AB26">
        <v>25</v>
      </c>
      <c r="AC26">
        <v>965</v>
      </c>
      <c r="AD26">
        <v>0</v>
      </c>
      <c r="AE26">
        <v>21.59</v>
      </c>
    </row>
    <row r="27" spans="1:31" x14ac:dyDescent="0.25">
      <c r="A27" t="s">
        <v>72</v>
      </c>
      <c r="B27">
        <v>3.3</v>
      </c>
      <c r="C27">
        <v>184.25</v>
      </c>
      <c r="D27">
        <v>197.02</v>
      </c>
      <c r="E27">
        <v>200.7</v>
      </c>
      <c r="F27">
        <v>200.7</v>
      </c>
      <c r="G27">
        <v>157.52000000000001</v>
      </c>
      <c r="H27">
        <v>190.43</v>
      </c>
      <c r="I27">
        <v>175.25</v>
      </c>
      <c r="J27">
        <v>128.21</v>
      </c>
      <c r="K27">
        <v>109.78</v>
      </c>
      <c r="L27">
        <v>171.32</v>
      </c>
      <c r="M27">
        <v>205.88</v>
      </c>
      <c r="N27">
        <v>195.55</v>
      </c>
      <c r="O27">
        <v>157.16999999999999</v>
      </c>
      <c r="P27">
        <v>160.69</v>
      </c>
      <c r="Q27">
        <v>202.55</v>
      </c>
      <c r="R27">
        <v>152.62</v>
      </c>
      <c r="S27">
        <v>199.59</v>
      </c>
      <c r="T27">
        <v>205.14</v>
      </c>
      <c r="U27">
        <v>199.22</v>
      </c>
      <c r="V27">
        <v>176.68</v>
      </c>
      <c r="W27">
        <v>197.38</v>
      </c>
      <c r="X27">
        <v>179.56</v>
      </c>
      <c r="Y27">
        <v>208.11</v>
      </c>
      <c r="Z27">
        <v>213.34</v>
      </c>
      <c r="AB27">
        <v>25</v>
      </c>
      <c r="AC27">
        <v>965</v>
      </c>
      <c r="AD27">
        <v>0</v>
      </c>
      <c r="AE27">
        <v>21.59</v>
      </c>
    </row>
    <row r="28" spans="1:31" x14ac:dyDescent="0.25">
      <c r="A28" t="s">
        <v>73</v>
      </c>
      <c r="B28">
        <v>3.55</v>
      </c>
      <c r="C28">
        <v>183.53</v>
      </c>
      <c r="D28">
        <v>195.55</v>
      </c>
      <c r="E28">
        <v>200.33</v>
      </c>
      <c r="F28">
        <v>199.59</v>
      </c>
      <c r="G28">
        <v>156.12</v>
      </c>
      <c r="H28">
        <v>188.61</v>
      </c>
      <c r="I28">
        <v>174.17</v>
      </c>
      <c r="J28">
        <v>126.18</v>
      </c>
      <c r="K28">
        <v>107.79</v>
      </c>
      <c r="L28">
        <v>170.25</v>
      </c>
      <c r="M28">
        <v>204.77</v>
      </c>
      <c r="N28">
        <v>194.08</v>
      </c>
      <c r="O28">
        <v>154.72</v>
      </c>
      <c r="P28">
        <v>159.28</v>
      </c>
      <c r="Q28">
        <v>202.18</v>
      </c>
      <c r="R28">
        <v>150.53</v>
      </c>
      <c r="S28">
        <v>199.96</v>
      </c>
      <c r="T28">
        <v>205.51</v>
      </c>
      <c r="U28">
        <v>197.75</v>
      </c>
      <c r="V28">
        <v>174.89</v>
      </c>
      <c r="W28">
        <v>196.28</v>
      </c>
      <c r="X28">
        <v>178.48</v>
      </c>
      <c r="Y28">
        <v>208.11</v>
      </c>
      <c r="Z28">
        <v>213.34</v>
      </c>
      <c r="AB28">
        <v>25</v>
      </c>
      <c r="AC28">
        <v>965</v>
      </c>
      <c r="AD28">
        <v>0</v>
      </c>
      <c r="AE28">
        <v>21.59</v>
      </c>
    </row>
    <row r="29" spans="1:31" x14ac:dyDescent="0.25">
      <c r="A29" t="s">
        <v>74</v>
      </c>
      <c r="B29">
        <v>3.8</v>
      </c>
      <c r="C29">
        <v>183.16</v>
      </c>
      <c r="D29">
        <v>194.81</v>
      </c>
      <c r="E29">
        <v>198.86</v>
      </c>
      <c r="F29">
        <v>198.86</v>
      </c>
      <c r="G29">
        <v>154.72</v>
      </c>
      <c r="H29">
        <v>188.61</v>
      </c>
      <c r="I29">
        <v>172.74</v>
      </c>
      <c r="J29">
        <v>123.82</v>
      </c>
      <c r="K29">
        <v>106.47</v>
      </c>
      <c r="L29">
        <v>169.89</v>
      </c>
      <c r="M29">
        <v>205.51</v>
      </c>
      <c r="N29">
        <v>192.98</v>
      </c>
      <c r="O29">
        <v>154.02000000000001</v>
      </c>
      <c r="P29">
        <v>158.57</v>
      </c>
      <c r="Q29">
        <v>201.07</v>
      </c>
      <c r="R29">
        <v>148.80000000000001</v>
      </c>
      <c r="S29">
        <v>199.22</v>
      </c>
      <c r="T29">
        <v>204.4</v>
      </c>
      <c r="U29">
        <v>197.02</v>
      </c>
      <c r="V29">
        <v>173.46</v>
      </c>
      <c r="W29">
        <v>196.65</v>
      </c>
      <c r="X29">
        <v>177.04</v>
      </c>
      <c r="Y29">
        <v>207.74</v>
      </c>
      <c r="Z29">
        <v>212.97</v>
      </c>
      <c r="AB29">
        <v>25</v>
      </c>
      <c r="AC29">
        <v>965</v>
      </c>
      <c r="AD29">
        <v>0</v>
      </c>
      <c r="AE29">
        <v>21.61</v>
      </c>
    </row>
    <row r="30" spans="1:31" x14ac:dyDescent="0.25">
      <c r="A30" t="s">
        <v>75</v>
      </c>
      <c r="B30">
        <v>4.05</v>
      </c>
      <c r="C30">
        <v>181.36</v>
      </c>
      <c r="D30">
        <v>194.08</v>
      </c>
      <c r="E30">
        <v>197.75</v>
      </c>
      <c r="F30">
        <v>198.49</v>
      </c>
      <c r="G30">
        <v>153.66999999999999</v>
      </c>
      <c r="H30">
        <v>188.24</v>
      </c>
      <c r="I30">
        <v>172.39</v>
      </c>
      <c r="J30">
        <v>121.8</v>
      </c>
      <c r="K30">
        <v>104.49</v>
      </c>
      <c r="L30">
        <v>168.47</v>
      </c>
      <c r="M30">
        <v>204.77</v>
      </c>
      <c r="N30">
        <v>191.52</v>
      </c>
      <c r="O30">
        <v>152.62</v>
      </c>
      <c r="P30">
        <v>158.57</v>
      </c>
      <c r="Q30">
        <v>200.7</v>
      </c>
      <c r="R30">
        <v>146.72</v>
      </c>
      <c r="S30">
        <v>199.22</v>
      </c>
      <c r="T30">
        <v>204.77</v>
      </c>
      <c r="U30">
        <v>196.28</v>
      </c>
      <c r="V30">
        <v>172.39</v>
      </c>
      <c r="W30">
        <v>197.38</v>
      </c>
      <c r="X30">
        <v>176.32</v>
      </c>
      <c r="Y30">
        <v>206.62</v>
      </c>
      <c r="Z30">
        <v>211.84</v>
      </c>
      <c r="AB30">
        <v>25</v>
      </c>
      <c r="AC30">
        <v>965</v>
      </c>
      <c r="AD30">
        <v>0</v>
      </c>
      <c r="AE30">
        <v>21.59</v>
      </c>
    </row>
    <row r="31" spans="1:31" x14ac:dyDescent="0.25">
      <c r="A31" t="s">
        <v>76</v>
      </c>
      <c r="B31">
        <v>4.3</v>
      </c>
      <c r="C31">
        <v>181</v>
      </c>
      <c r="D31">
        <v>192.62</v>
      </c>
      <c r="E31">
        <v>196.65</v>
      </c>
      <c r="F31">
        <v>197.75</v>
      </c>
      <c r="G31">
        <v>151.93</v>
      </c>
      <c r="H31">
        <v>187.15</v>
      </c>
      <c r="I31">
        <v>171.32</v>
      </c>
      <c r="J31">
        <v>120.12</v>
      </c>
      <c r="K31">
        <v>104.16</v>
      </c>
      <c r="L31">
        <v>168.47</v>
      </c>
      <c r="M31">
        <v>204.4</v>
      </c>
      <c r="N31">
        <v>189.7</v>
      </c>
      <c r="O31">
        <v>151.22999999999999</v>
      </c>
      <c r="P31">
        <v>157.87</v>
      </c>
      <c r="Q31">
        <v>199.59</v>
      </c>
      <c r="R31">
        <v>144.99</v>
      </c>
      <c r="S31">
        <v>199.22</v>
      </c>
      <c r="T31">
        <v>204.4</v>
      </c>
      <c r="U31">
        <v>195.55</v>
      </c>
      <c r="V31">
        <v>171.32</v>
      </c>
      <c r="W31">
        <v>195.91</v>
      </c>
      <c r="X31">
        <v>174.89</v>
      </c>
      <c r="Y31">
        <v>206.25</v>
      </c>
      <c r="Z31">
        <v>212.59</v>
      </c>
      <c r="AB31">
        <v>25</v>
      </c>
      <c r="AC31">
        <v>965</v>
      </c>
      <c r="AD31">
        <v>0</v>
      </c>
      <c r="AE31">
        <v>21.59</v>
      </c>
    </row>
    <row r="32" spans="1:31" x14ac:dyDescent="0.25">
      <c r="A32" t="s">
        <v>77</v>
      </c>
      <c r="B32">
        <v>4.55</v>
      </c>
      <c r="C32">
        <v>180.64</v>
      </c>
      <c r="D32">
        <v>192.62</v>
      </c>
      <c r="E32">
        <v>195.91</v>
      </c>
      <c r="F32">
        <v>197.02</v>
      </c>
      <c r="G32">
        <v>151.58000000000001</v>
      </c>
      <c r="H32">
        <v>186.42</v>
      </c>
      <c r="I32">
        <v>169.89</v>
      </c>
      <c r="J32">
        <v>119.11</v>
      </c>
      <c r="K32">
        <v>103.17</v>
      </c>
      <c r="L32">
        <v>167.76</v>
      </c>
      <c r="M32">
        <v>204.77</v>
      </c>
      <c r="N32">
        <v>189.33</v>
      </c>
      <c r="O32">
        <v>150.19</v>
      </c>
      <c r="P32">
        <v>156.82</v>
      </c>
      <c r="Q32">
        <v>198.49</v>
      </c>
      <c r="R32">
        <v>143.26</v>
      </c>
      <c r="S32">
        <v>199.59</v>
      </c>
      <c r="T32">
        <v>204.4</v>
      </c>
      <c r="U32">
        <v>194.45</v>
      </c>
      <c r="V32">
        <v>170.25</v>
      </c>
      <c r="W32">
        <v>195.18</v>
      </c>
      <c r="X32">
        <v>174.89</v>
      </c>
      <c r="Y32">
        <v>205.88</v>
      </c>
      <c r="Z32">
        <v>211.84</v>
      </c>
      <c r="AB32">
        <v>25</v>
      </c>
      <c r="AC32">
        <v>965</v>
      </c>
      <c r="AD32">
        <v>0</v>
      </c>
      <c r="AE32">
        <v>21.59</v>
      </c>
    </row>
    <row r="33" spans="1:31" x14ac:dyDescent="0.25">
      <c r="A33" t="s">
        <v>78</v>
      </c>
      <c r="B33">
        <v>4.8</v>
      </c>
      <c r="C33">
        <v>179.92</v>
      </c>
      <c r="D33">
        <v>191.89</v>
      </c>
      <c r="E33">
        <v>195.55</v>
      </c>
      <c r="F33">
        <v>197.02</v>
      </c>
      <c r="G33">
        <v>151.22999999999999</v>
      </c>
      <c r="H33">
        <v>185.34</v>
      </c>
      <c r="I33">
        <v>168.47</v>
      </c>
      <c r="J33">
        <v>117.44</v>
      </c>
      <c r="K33">
        <v>101.86</v>
      </c>
      <c r="L33">
        <v>167.05</v>
      </c>
      <c r="M33">
        <v>204.77</v>
      </c>
      <c r="N33">
        <v>187.51</v>
      </c>
      <c r="O33">
        <v>148.80000000000001</v>
      </c>
      <c r="P33">
        <v>156.12</v>
      </c>
      <c r="Q33">
        <v>198.12</v>
      </c>
      <c r="R33">
        <v>141.19</v>
      </c>
      <c r="S33">
        <v>198.86</v>
      </c>
      <c r="T33">
        <v>204.03</v>
      </c>
      <c r="U33">
        <v>194.45</v>
      </c>
      <c r="V33">
        <v>169.53</v>
      </c>
      <c r="W33">
        <v>195.18</v>
      </c>
      <c r="X33">
        <v>173.82</v>
      </c>
      <c r="Y33">
        <v>206.62</v>
      </c>
      <c r="Z33">
        <v>212.97</v>
      </c>
      <c r="AB33">
        <v>25</v>
      </c>
      <c r="AC33">
        <v>965</v>
      </c>
      <c r="AD33">
        <v>0</v>
      </c>
      <c r="AE33">
        <v>21.59</v>
      </c>
    </row>
    <row r="34" spans="1:31" x14ac:dyDescent="0.25">
      <c r="A34" t="s">
        <v>79</v>
      </c>
      <c r="B34">
        <v>5.05</v>
      </c>
      <c r="C34">
        <v>178.84</v>
      </c>
      <c r="D34">
        <v>190.79</v>
      </c>
      <c r="E34">
        <v>194.81</v>
      </c>
      <c r="F34">
        <v>196.28</v>
      </c>
      <c r="G34">
        <v>149.49</v>
      </c>
      <c r="H34">
        <v>184.61</v>
      </c>
      <c r="I34">
        <v>167.4</v>
      </c>
      <c r="J34">
        <v>116.1</v>
      </c>
      <c r="K34">
        <v>100.22</v>
      </c>
      <c r="L34">
        <v>166.69</v>
      </c>
      <c r="M34">
        <v>204.4</v>
      </c>
      <c r="N34">
        <v>187.15</v>
      </c>
      <c r="O34">
        <v>147.06</v>
      </c>
      <c r="P34">
        <v>155.41999999999999</v>
      </c>
      <c r="Q34">
        <v>197.75</v>
      </c>
      <c r="R34">
        <v>139.47</v>
      </c>
      <c r="S34">
        <v>198.86</v>
      </c>
      <c r="T34">
        <v>204.03</v>
      </c>
      <c r="U34">
        <v>192.98</v>
      </c>
      <c r="V34">
        <v>168.47</v>
      </c>
      <c r="W34">
        <v>194.81</v>
      </c>
      <c r="X34">
        <v>172.39</v>
      </c>
      <c r="Y34">
        <v>206.62</v>
      </c>
      <c r="Z34">
        <v>212.97</v>
      </c>
      <c r="AB34">
        <v>25</v>
      </c>
      <c r="AC34">
        <v>965</v>
      </c>
      <c r="AD34">
        <v>0</v>
      </c>
      <c r="AE34">
        <v>21.59</v>
      </c>
    </row>
    <row r="35" spans="1:31" x14ac:dyDescent="0.25">
      <c r="A35" t="s">
        <v>80</v>
      </c>
      <c r="B35">
        <v>5.3</v>
      </c>
      <c r="C35">
        <v>178.12</v>
      </c>
      <c r="D35">
        <v>190.06</v>
      </c>
      <c r="E35">
        <v>193.35</v>
      </c>
      <c r="F35">
        <v>195.55</v>
      </c>
      <c r="G35">
        <v>148.44999999999999</v>
      </c>
      <c r="H35">
        <v>184.25</v>
      </c>
      <c r="I35">
        <v>167.05</v>
      </c>
      <c r="J35">
        <v>115.1</v>
      </c>
      <c r="K35">
        <v>99.23</v>
      </c>
      <c r="L35">
        <v>165.98</v>
      </c>
      <c r="M35">
        <v>204.4</v>
      </c>
      <c r="N35">
        <v>185.7</v>
      </c>
      <c r="O35">
        <v>146.02000000000001</v>
      </c>
      <c r="P35">
        <v>154.72</v>
      </c>
      <c r="Q35">
        <v>197.02</v>
      </c>
      <c r="R35">
        <v>138.44</v>
      </c>
      <c r="S35">
        <v>198.86</v>
      </c>
      <c r="T35">
        <v>204.03</v>
      </c>
      <c r="U35">
        <v>192.98</v>
      </c>
      <c r="V35">
        <v>166.69</v>
      </c>
      <c r="W35">
        <v>194.81</v>
      </c>
      <c r="X35">
        <v>172.39</v>
      </c>
      <c r="Y35">
        <v>205.88</v>
      </c>
      <c r="Z35">
        <v>212.22</v>
      </c>
      <c r="AB35">
        <v>25</v>
      </c>
      <c r="AC35">
        <v>965</v>
      </c>
      <c r="AD35">
        <v>0</v>
      </c>
      <c r="AE35">
        <v>21.59</v>
      </c>
    </row>
    <row r="36" spans="1:31" x14ac:dyDescent="0.25">
      <c r="A36" t="s">
        <v>81</v>
      </c>
      <c r="B36">
        <v>5.57</v>
      </c>
      <c r="C36">
        <v>178.12</v>
      </c>
      <c r="D36">
        <v>188.97</v>
      </c>
      <c r="E36">
        <v>193.35</v>
      </c>
      <c r="F36">
        <v>196.28</v>
      </c>
      <c r="G36">
        <v>147.76</v>
      </c>
      <c r="H36">
        <v>183.53</v>
      </c>
      <c r="I36">
        <v>165.63</v>
      </c>
      <c r="J36">
        <v>113.77</v>
      </c>
      <c r="K36">
        <v>98.91</v>
      </c>
      <c r="L36">
        <v>165.63</v>
      </c>
      <c r="M36">
        <v>204.03</v>
      </c>
      <c r="N36">
        <v>184.97</v>
      </c>
      <c r="O36">
        <v>144.63999999999999</v>
      </c>
      <c r="P36">
        <v>154.72</v>
      </c>
      <c r="Q36">
        <v>195.55</v>
      </c>
      <c r="R36">
        <v>136.72999999999999</v>
      </c>
      <c r="S36">
        <v>198.49</v>
      </c>
      <c r="T36">
        <v>203.66</v>
      </c>
      <c r="U36">
        <v>192.62</v>
      </c>
      <c r="V36">
        <v>166.34</v>
      </c>
      <c r="W36">
        <v>194.45</v>
      </c>
      <c r="X36">
        <v>171.32</v>
      </c>
      <c r="Y36">
        <v>205.88</v>
      </c>
      <c r="Z36">
        <v>212.22</v>
      </c>
      <c r="AB36">
        <v>25</v>
      </c>
      <c r="AC36">
        <v>965</v>
      </c>
      <c r="AD36">
        <v>0</v>
      </c>
      <c r="AE36">
        <v>21.59</v>
      </c>
    </row>
    <row r="37" spans="1:31" x14ac:dyDescent="0.25">
      <c r="A37" t="s">
        <v>82</v>
      </c>
      <c r="B37">
        <v>5.82</v>
      </c>
      <c r="C37">
        <v>177.4</v>
      </c>
      <c r="D37">
        <v>187.88</v>
      </c>
      <c r="E37">
        <v>192.62</v>
      </c>
      <c r="F37">
        <v>195.55</v>
      </c>
      <c r="G37">
        <v>148.1</v>
      </c>
      <c r="H37">
        <v>183.53</v>
      </c>
      <c r="I37">
        <v>165.63</v>
      </c>
      <c r="J37">
        <v>112.77</v>
      </c>
      <c r="K37">
        <v>97.6</v>
      </c>
      <c r="L37">
        <v>165.28</v>
      </c>
      <c r="M37">
        <v>203.66</v>
      </c>
      <c r="N37">
        <v>183.89</v>
      </c>
      <c r="O37">
        <v>143.26</v>
      </c>
      <c r="P37">
        <v>153.66999999999999</v>
      </c>
      <c r="Q37">
        <v>195.55</v>
      </c>
      <c r="R37">
        <v>135.36000000000001</v>
      </c>
      <c r="S37">
        <v>198.86</v>
      </c>
      <c r="T37">
        <v>204.77</v>
      </c>
      <c r="U37">
        <v>191.52</v>
      </c>
      <c r="V37">
        <v>165.28</v>
      </c>
      <c r="W37">
        <v>194.45</v>
      </c>
      <c r="X37">
        <v>170.25</v>
      </c>
      <c r="Y37">
        <v>205.88</v>
      </c>
      <c r="Z37">
        <v>211.84</v>
      </c>
      <c r="AB37">
        <v>25</v>
      </c>
      <c r="AC37">
        <v>965</v>
      </c>
      <c r="AD37">
        <v>0</v>
      </c>
      <c r="AE37">
        <v>21.59</v>
      </c>
    </row>
    <row r="38" spans="1:31" x14ac:dyDescent="0.25">
      <c r="A38" t="s">
        <v>83</v>
      </c>
      <c r="B38">
        <v>6.07</v>
      </c>
      <c r="C38">
        <v>176.32</v>
      </c>
      <c r="D38">
        <v>187.51</v>
      </c>
      <c r="E38">
        <v>191.89</v>
      </c>
      <c r="F38">
        <v>194.45</v>
      </c>
      <c r="G38">
        <v>146.02000000000001</v>
      </c>
      <c r="H38">
        <v>182.44</v>
      </c>
      <c r="I38">
        <v>164.92</v>
      </c>
      <c r="J38">
        <v>111.77</v>
      </c>
      <c r="K38">
        <v>95.97</v>
      </c>
      <c r="L38">
        <v>164.21</v>
      </c>
      <c r="M38">
        <v>203.29</v>
      </c>
      <c r="N38">
        <v>183.16</v>
      </c>
      <c r="O38">
        <v>142.22</v>
      </c>
      <c r="P38">
        <v>153.66999999999999</v>
      </c>
      <c r="Q38">
        <v>194.81</v>
      </c>
      <c r="R38">
        <v>132.97</v>
      </c>
      <c r="S38">
        <v>198.49</v>
      </c>
      <c r="T38">
        <v>203.66</v>
      </c>
      <c r="U38">
        <v>190.43</v>
      </c>
      <c r="V38">
        <v>164.57</v>
      </c>
      <c r="W38">
        <v>193.71</v>
      </c>
      <c r="X38">
        <v>169.89</v>
      </c>
      <c r="Y38">
        <v>205.88</v>
      </c>
      <c r="Z38">
        <v>211.1</v>
      </c>
      <c r="AB38">
        <v>25</v>
      </c>
      <c r="AC38">
        <v>965</v>
      </c>
      <c r="AD38">
        <v>0</v>
      </c>
      <c r="AE38">
        <v>21.59</v>
      </c>
    </row>
    <row r="39" spans="1:31" x14ac:dyDescent="0.25">
      <c r="A39" t="s">
        <v>84</v>
      </c>
      <c r="B39">
        <v>6.32</v>
      </c>
      <c r="C39">
        <v>176.68</v>
      </c>
      <c r="D39">
        <v>188.61</v>
      </c>
      <c r="E39">
        <v>191.52</v>
      </c>
      <c r="F39">
        <v>195.18</v>
      </c>
      <c r="G39">
        <v>146.37</v>
      </c>
      <c r="H39">
        <v>181.72</v>
      </c>
      <c r="I39">
        <v>164.21</v>
      </c>
      <c r="J39">
        <v>110.77</v>
      </c>
      <c r="K39">
        <v>96.29</v>
      </c>
      <c r="L39">
        <v>164.57</v>
      </c>
      <c r="M39">
        <v>204.03</v>
      </c>
      <c r="N39">
        <v>182.44</v>
      </c>
      <c r="O39">
        <v>141.54</v>
      </c>
      <c r="P39">
        <v>153.32</v>
      </c>
      <c r="Q39">
        <v>194.08</v>
      </c>
      <c r="R39">
        <v>133.31</v>
      </c>
      <c r="S39">
        <v>198.86</v>
      </c>
      <c r="T39">
        <v>204.4</v>
      </c>
      <c r="U39">
        <v>190.06</v>
      </c>
      <c r="V39">
        <v>163.86</v>
      </c>
      <c r="W39">
        <v>192.98</v>
      </c>
      <c r="X39">
        <v>169.89</v>
      </c>
      <c r="Y39">
        <v>205.88</v>
      </c>
      <c r="Z39">
        <v>212.59</v>
      </c>
      <c r="AB39">
        <v>25</v>
      </c>
      <c r="AC39">
        <v>965</v>
      </c>
      <c r="AD39">
        <v>0</v>
      </c>
      <c r="AE39">
        <v>21.58</v>
      </c>
    </row>
    <row r="40" spans="1:31" x14ac:dyDescent="0.25">
      <c r="A40" t="s">
        <v>85</v>
      </c>
      <c r="B40">
        <v>6.57</v>
      </c>
      <c r="C40">
        <v>175.96</v>
      </c>
      <c r="D40">
        <v>186.79</v>
      </c>
      <c r="E40">
        <v>190.43</v>
      </c>
      <c r="F40">
        <v>194.81</v>
      </c>
      <c r="G40">
        <v>144.29</v>
      </c>
      <c r="H40">
        <v>181.36</v>
      </c>
      <c r="I40">
        <v>162.80000000000001</v>
      </c>
      <c r="J40">
        <v>109.78</v>
      </c>
      <c r="K40">
        <v>94.66</v>
      </c>
      <c r="L40">
        <v>163.51</v>
      </c>
      <c r="M40">
        <v>202.92</v>
      </c>
      <c r="N40">
        <v>181.36</v>
      </c>
      <c r="O40">
        <v>139.82</v>
      </c>
      <c r="P40">
        <v>152.28</v>
      </c>
      <c r="Q40">
        <v>192.62</v>
      </c>
      <c r="R40">
        <v>130.93</v>
      </c>
      <c r="S40">
        <v>198.12</v>
      </c>
      <c r="T40">
        <v>203.66</v>
      </c>
      <c r="U40">
        <v>189.33</v>
      </c>
      <c r="V40">
        <v>163.15</v>
      </c>
      <c r="W40">
        <v>194.08</v>
      </c>
      <c r="X40">
        <v>168.47</v>
      </c>
      <c r="Y40">
        <v>205.51</v>
      </c>
      <c r="Z40">
        <v>212.22</v>
      </c>
      <c r="AB40">
        <v>25</v>
      </c>
      <c r="AC40">
        <v>965</v>
      </c>
      <c r="AD40">
        <v>0</v>
      </c>
      <c r="AE40">
        <v>21.58</v>
      </c>
    </row>
    <row r="41" spans="1:31" x14ac:dyDescent="0.25">
      <c r="A41" t="s">
        <v>86</v>
      </c>
      <c r="B41">
        <v>6.82</v>
      </c>
      <c r="C41">
        <v>175.25</v>
      </c>
      <c r="D41">
        <v>186.06</v>
      </c>
      <c r="E41">
        <v>188.97</v>
      </c>
      <c r="F41">
        <v>194.08</v>
      </c>
      <c r="G41">
        <v>143.94999999999999</v>
      </c>
      <c r="H41">
        <v>181</v>
      </c>
      <c r="I41">
        <v>162.09</v>
      </c>
      <c r="J41">
        <v>108.45</v>
      </c>
      <c r="K41">
        <v>93.36</v>
      </c>
      <c r="L41">
        <v>162.80000000000001</v>
      </c>
      <c r="M41">
        <v>202.92</v>
      </c>
      <c r="N41">
        <v>179.92</v>
      </c>
      <c r="O41">
        <v>139.13</v>
      </c>
      <c r="P41">
        <v>152.62</v>
      </c>
      <c r="Q41">
        <v>192.25</v>
      </c>
      <c r="R41">
        <v>129.57</v>
      </c>
      <c r="S41">
        <v>197.38</v>
      </c>
      <c r="T41">
        <v>204.03</v>
      </c>
      <c r="U41">
        <v>188.61</v>
      </c>
      <c r="V41">
        <v>161.04</v>
      </c>
      <c r="W41">
        <v>193.35</v>
      </c>
      <c r="X41">
        <v>168.47</v>
      </c>
      <c r="Y41">
        <v>206.62</v>
      </c>
      <c r="Z41">
        <v>211.84</v>
      </c>
      <c r="AB41">
        <v>25</v>
      </c>
      <c r="AC41">
        <v>965</v>
      </c>
      <c r="AD41">
        <v>0</v>
      </c>
      <c r="AE41">
        <v>21.59</v>
      </c>
    </row>
    <row r="42" spans="1:31" x14ac:dyDescent="0.25">
      <c r="A42" t="s">
        <v>87</v>
      </c>
      <c r="B42">
        <v>7.07</v>
      </c>
      <c r="C42">
        <v>174.53</v>
      </c>
      <c r="D42">
        <v>185.34</v>
      </c>
      <c r="E42">
        <v>188.61</v>
      </c>
      <c r="F42">
        <v>193.35</v>
      </c>
      <c r="G42">
        <v>143.26</v>
      </c>
      <c r="H42">
        <v>179.92</v>
      </c>
      <c r="I42">
        <v>160.69</v>
      </c>
      <c r="J42">
        <v>107.46</v>
      </c>
      <c r="K42">
        <v>93.04</v>
      </c>
      <c r="L42">
        <v>162.44999999999999</v>
      </c>
      <c r="M42">
        <v>202.55</v>
      </c>
      <c r="N42">
        <v>178.84</v>
      </c>
      <c r="O42">
        <v>137.41</v>
      </c>
      <c r="P42">
        <v>151.93</v>
      </c>
      <c r="Q42">
        <v>191.89</v>
      </c>
      <c r="R42">
        <v>128.55000000000001</v>
      </c>
      <c r="S42">
        <v>198.12</v>
      </c>
      <c r="T42">
        <v>204.03</v>
      </c>
      <c r="U42">
        <v>187.88</v>
      </c>
      <c r="V42">
        <v>159.97999999999999</v>
      </c>
      <c r="W42">
        <v>192.98</v>
      </c>
      <c r="X42">
        <v>166.69</v>
      </c>
      <c r="Y42">
        <v>205.88</v>
      </c>
      <c r="Z42">
        <v>210.72</v>
      </c>
      <c r="AB42">
        <v>25</v>
      </c>
      <c r="AC42">
        <v>965</v>
      </c>
      <c r="AD42">
        <v>0</v>
      </c>
      <c r="AE42">
        <v>21.59</v>
      </c>
    </row>
    <row r="43" spans="1:31" x14ac:dyDescent="0.25">
      <c r="A43" t="s">
        <v>88</v>
      </c>
      <c r="B43">
        <v>7.32</v>
      </c>
      <c r="C43">
        <v>173.82</v>
      </c>
      <c r="D43">
        <v>184.97</v>
      </c>
      <c r="E43">
        <v>187.15</v>
      </c>
      <c r="F43">
        <v>193.35</v>
      </c>
      <c r="G43">
        <v>141.88</v>
      </c>
      <c r="H43">
        <v>179.56</v>
      </c>
      <c r="I43">
        <v>158.22</v>
      </c>
      <c r="J43">
        <v>106.14</v>
      </c>
      <c r="K43">
        <v>92.39</v>
      </c>
      <c r="L43">
        <v>162.09</v>
      </c>
      <c r="M43">
        <v>202.18</v>
      </c>
      <c r="N43">
        <v>177.4</v>
      </c>
      <c r="O43">
        <v>136.72999999999999</v>
      </c>
      <c r="P43">
        <v>150.53</v>
      </c>
      <c r="Q43">
        <v>191.16</v>
      </c>
      <c r="R43">
        <v>127.2</v>
      </c>
      <c r="S43">
        <v>197.02</v>
      </c>
      <c r="T43">
        <v>202.92</v>
      </c>
      <c r="U43">
        <v>187.51</v>
      </c>
      <c r="V43">
        <v>159.28</v>
      </c>
      <c r="W43">
        <v>191.89</v>
      </c>
      <c r="X43">
        <v>166.34</v>
      </c>
      <c r="Y43">
        <v>204.77</v>
      </c>
      <c r="Z43">
        <v>211.1</v>
      </c>
      <c r="AB43">
        <v>25</v>
      </c>
      <c r="AC43">
        <v>965</v>
      </c>
      <c r="AD43">
        <v>0</v>
      </c>
      <c r="AE43">
        <v>21.59</v>
      </c>
    </row>
    <row r="44" spans="1:31" x14ac:dyDescent="0.25">
      <c r="A44" t="s">
        <v>89</v>
      </c>
      <c r="B44">
        <v>7.58</v>
      </c>
      <c r="C44">
        <v>173.46</v>
      </c>
      <c r="D44">
        <v>183.53</v>
      </c>
      <c r="E44">
        <v>186.42</v>
      </c>
      <c r="F44">
        <v>191.89</v>
      </c>
      <c r="G44">
        <v>142.22</v>
      </c>
      <c r="H44">
        <v>178.84</v>
      </c>
      <c r="I44">
        <v>158.22</v>
      </c>
      <c r="J44">
        <v>105.48</v>
      </c>
      <c r="K44">
        <v>91.74</v>
      </c>
      <c r="L44">
        <v>161.74</v>
      </c>
      <c r="M44">
        <v>202.55</v>
      </c>
      <c r="N44">
        <v>177.4</v>
      </c>
      <c r="O44">
        <v>135.02000000000001</v>
      </c>
      <c r="P44">
        <v>149.84</v>
      </c>
      <c r="Q44">
        <v>190.06</v>
      </c>
      <c r="R44">
        <v>126.52</v>
      </c>
      <c r="S44">
        <v>197.38</v>
      </c>
      <c r="T44">
        <v>202.92</v>
      </c>
      <c r="U44">
        <v>186.06</v>
      </c>
      <c r="V44">
        <v>158.22</v>
      </c>
      <c r="W44">
        <v>191.89</v>
      </c>
      <c r="X44">
        <v>164.92</v>
      </c>
      <c r="Y44">
        <v>204.77</v>
      </c>
      <c r="Z44">
        <v>211.84</v>
      </c>
      <c r="AB44">
        <v>25</v>
      </c>
      <c r="AC44">
        <v>965</v>
      </c>
      <c r="AD44">
        <v>0</v>
      </c>
      <c r="AE44">
        <v>21.58</v>
      </c>
    </row>
    <row r="45" spans="1:31" x14ac:dyDescent="0.25">
      <c r="A45" t="s">
        <v>90</v>
      </c>
      <c r="B45">
        <v>7.83</v>
      </c>
      <c r="C45">
        <v>172.39</v>
      </c>
      <c r="D45">
        <v>183.53</v>
      </c>
      <c r="E45">
        <v>186.79</v>
      </c>
      <c r="F45">
        <v>192.25</v>
      </c>
      <c r="G45">
        <v>140.85</v>
      </c>
      <c r="H45">
        <v>178.12</v>
      </c>
      <c r="I45">
        <v>157.16999999999999</v>
      </c>
      <c r="J45">
        <v>104.82</v>
      </c>
      <c r="K45">
        <v>90.12</v>
      </c>
      <c r="L45">
        <v>160.69</v>
      </c>
      <c r="M45">
        <v>201.44</v>
      </c>
      <c r="N45">
        <v>175.61</v>
      </c>
      <c r="O45">
        <v>134</v>
      </c>
      <c r="P45">
        <v>149.49</v>
      </c>
      <c r="Q45">
        <v>189.33</v>
      </c>
      <c r="R45">
        <v>124.83</v>
      </c>
      <c r="S45">
        <v>197.75</v>
      </c>
      <c r="T45">
        <v>204.03</v>
      </c>
      <c r="U45">
        <v>184.61</v>
      </c>
      <c r="V45">
        <v>157.52000000000001</v>
      </c>
      <c r="W45">
        <v>191.52</v>
      </c>
      <c r="X45">
        <v>164.92</v>
      </c>
      <c r="Y45">
        <v>204.03</v>
      </c>
      <c r="Z45">
        <v>211.47</v>
      </c>
      <c r="AB45">
        <v>25</v>
      </c>
      <c r="AC45">
        <v>965</v>
      </c>
      <c r="AD45">
        <v>0</v>
      </c>
      <c r="AE45">
        <v>21.58</v>
      </c>
    </row>
    <row r="46" spans="1:31" x14ac:dyDescent="0.25">
      <c r="A46" t="s">
        <v>91</v>
      </c>
      <c r="B46">
        <v>8.08</v>
      </c>
      <c r="C46">
        <v>172.03</v>
      </c>
      <c r="D46">
        <v>182.08</v>
      </c>
      <c r="E46">
        <v>185.7</v>
      </c>
      <c r="F46">
        <v>192.25</v>
      </c>
      <c r="G46">
        <v>140.16</v>
      </c>
      <c r="H46">
        <v>178.12</v>
      </c>
      <c r="I46">
        <v>156.47</v>
      </c>
      <c r="J46">
        <v>103.83</v>
      </c>
      <c r="K46">
        <v>89.47</v>
      </c>
      <c r="L46">
        <v>161.04</v>
      </c>
      <c r="M46">
        <v>201.81</v>
      </c>
      <c r="N46">
        <v>175.25</v>
      </c>
      <c r="O46">
        <v>132.97</v>
      </c>
      <c r="P46">
        <v>149.13999999999999</v>
      </c>
      <c r="Q46">
        <v>189.7</v>
      </c>
      <c r="R46">
        <v>124.16</v>
      </c>
      <c r="S46">
        <v>198.12</v>
      </c>
      <c r="T46">
        <v>202.55</v>
      </c>
      <c r="U46">
        <v>185.34</v>
      </c>
      <c r="V46">
        <v>156.47</v>
      </c>
      <c r="W46">
        <v>191.52</v>
      </c>
      <c r="X46">
        <v>164.21</v>
      </c>
      <c r="Y46">
        <v>204.4</v>
      </c>
      <c r="Z46">
        <v>210.72</v>
      </c>
      <c r="AB46">
        <v>25</v>
      </c>
      <c r="AC46">
        <v>965</v>
      </c>
      <c r="AD46">
        <v>0</v>
      </c>
      <c r="AE46">
        <v>21.58</v>
      </c>
    </row>
    <row r="47" spans="1:31" x14ac:dyDescent="0.25">
      <c r="A47" t="s">
        <v>92</v>
      </c>
      <c r="B47">
        <v>8.33</v>
      </c>
      <c r="C47">
        <v>171.67</v>
      </c>
      <c r="D47">
        <v>182.44</v>
      </c>
      <c r="E47">
        <v>184.61</v>
      </c>
      <c r="F47">
        <v>191.52</v>
      </c>
      <c r="G47">
        <v>140.16</v>
      </c>
      <c r="H47">
        <v>177.76</v>
      </c>
      <c r="I47">
        <v>155.77000000000001</v>
      </c>
      <c r="J47">
        <v>102.84</v>
      </c>
      <c r="K47">
        <v>88.82</v>
      </c>
      <c r="L47">
        <v>160.69</v>
      </c>
      <c r="M47">
        <v>201.07</v>
      </c>
      <c r="N47">
        <v>173.46</v>
      </c>
      <c r="O47">
        <v>131.61000000000001</v>
      </c>
      <c r="P47">
        <v>148.80000000000001</v>
      </c>
      <c r="Q47">
        <v>188.97</v>
      </c>
      <c r="R47">
        <v>122.47</v>
      </c>
      <c r="S47">
        <v>197.02</v>
      </c>
      <c r="T47">
        <v>203.66</v>
      </c>
      <c r="U47">
        <v>184.25</v>
      </c>
      <c r="V47">
        <v>156.12</v>
      </c>
      <c r="W47">
        <v>191.16</v>
      </c>
      <c r="X47">
        <v>163.51</v>
      </c>
      <c r="Y47">
        <v>204.4</v>
      </c>
      <c r="Z47">
        <v>211.1</v>
      </c>
      <c r="AB47">
        <v>25</v>
      </c>
      <c r="AC47">
        <v>965</v>
      </c>
      <c r="AD47">
        <v>0</v>
      </c>
      <c r="AE47">
        <v>21.58</v>
      </c>
    </row>
    <row r="48" spans="1:31" x14ac:dyDescent="0.25">
      <c r="A48" t="s">
        <v>93</v>
      </c>
      <c r="B48">
        <v>8.58</v>
      </c>
      <c r="C48">
        <v>170.96</v>
      </c>
      <c r="D48">
        <v>181.36</v>
      </c>
      <c r="E48">
        <v>184.25</v>
      </c>
      <c r="F48">
        <v>191.52</v>
      </c>
      <c r="G48">
        <v>139.13</v>
      </c>
      <c r="H48">
        <v>176.68</v>
      </c>
      <c r="I48">
        <v>155.07</v>
      </c>
      <c r="J48">
        <v>101.86</v>
      </c>
      <c r="K48">
        <v>88.5</v>
      </c>
      <c r="L48">
        <v>159.97999999999999</v>
      </c>
      <c r="M48">
        <v>201.81</v>
      </c>
      <c r="N48">
        <v>172.74</v>
      </c>
      <c r="O48">
        <v>130.93</v>
      </c>
      <c r="P48">
        <v>148.80000000000001</v>
      </c>
      <c r="Q48">
        <v>188.24</v>
      </c>
      <c r="R48">
        <v>121.8</v>
      </c>
      <c r="S48">
        <v>197.75</v>
      </c>
      <c r="T48">
        <v>203.29</v>
      </c>
      <c r="U48">
        <v>183.53</v>
      </c>
      <c r="V48">
        <v>155.07</v>
      </c>
      <c r="W48">
        <v>190.43</v>
      </c>
      <c r="X48">
        <v>163.15</v>
      </c>
      <c r="Y48">
        <v>205.14</v>
      </c>
      <c r="Z48">
        <v>210.35</v>
      </c>
      <c r="AB48">
        <v>25</v>
      </c>
      <c r="AC48">
        <v>965</v>
      </c>
      <c r="AD48">
        <v>0</v>
      </c>
      <c r="AE48">
        <v>21.56</v>
      </c>
    </row>
    <row r="49" spans="1:31" x14ac:dyDescent="0.25">
      <c r="A49" t="s">
        <v>94</v>
      </c>
      <c r="B49">
        <v>8.83</v>
      </c>
      <c r="C49">
        <v>170.6</v>
      </c>
      <c r="D49">
        <v>179.92</v>
      </c>
      <c r="E49">
        <v>183.16</v>
      </c>
      <c r="F49">
        <v>191.16</v>
      </c>
      <c r="G49">
        <v>138.79</v>
      </c>
      <c r="H49">
        <v>175.61</v>
      </c>
      <c r="I49">
        <v>154.37</v>
      </c>
      <c r="J49">
        <v>102.19</v>
      </c>
      <c r="K49">
        <v>87.21</v>
      </c>
      <c r="L49">
        <v>158.93</v>
      </c>
      <c r="M49">
        <v>201.07</v>
      </c>
      <c r="N49">
        <v>173.1</v>
      </c>
      <c r="O49">
        <v>129.91</v>
      </c>
      <c r="P49">
        <v>148.1</v>
      </c>
      <c r="Q49">
        <v>187.15</v>
      </c>
      <c r="R49">
        <v>120.12</v>
      </c>
      <c r="S49">
        <v>197.75</v>
      </c>
      <c r="T49">
        <v>202.92</v>
      </c>
      <c r="U49">
        <v>182.8</v>
      </c>
      <c r="V49">
        <v>153.66999999999999</v>
      </c>
      <c r="W49">
        <v>190.06</v>
      </c>
      <c r="X49">
        <v>162.09</v>
      </c>
      <c r="Y49">
        <v>204.4</v>
      </c>
      <c r="Z49">
        <v>210.72</v>
      </c>
      <c r="AB49">
        <v>25</v>
      </c>
      <c r="AC49">
        <v>965</v>
      </c>
      <c r="AD49">
        <v>0</v>
      </c>
      <c r="AE49">
        <v>21.58</v>
      </c>
    </row>
    <row r="50" spans="1:31" x14ac:dyDescent="0.25">
      <c r="A50" t="s">
        <v>95</v>
      </c>
      <c r="B50">
        <v>9.08</v>
      </c>
      <c r="C50">
        <v>169.89</v>
      </c>
      <c r="D50">
        <v>179.92</v>
      </c>
      <c r="E50">
        <v>183.16</v>
      </c>
      <c r="F50">
        <v>190.79</v>
      </c>
      <c r="G50">
        <v>137.07</v>
      </c>
      <c r="H50">
        <v>175.61</v>
      </c>
      <c r="I50">
        <v>152.28</v>
      </c>
      <c r="J50">
        <v>101.2</v>
      </c>
      <c r="K50">
        <v>86.56</v>
      </c>
      <c r="L50">
        <v>159.63</v>
      </c>
      <c r="M50">
        <v>201.07</v>
      </c>
      <c r="N50">
        <v>170.6</v>
      </c>
      <c r="O50">
        <v>128.55000000000001</v>
      </c>
      <c r="P50">
        <v>148.1</v>
      </c>
      <c r="Q50">
        <v>186.42</v>
      </c>
      <c r="R50">
        <v>119.45</v>
      </c>
      <c r="S50">
        <v>197.75</v>
      </c>
      <c r="T50">
        <v>202.92</v>
      </c>
      <c r="U50">
        <v>182.08</v>
      </c>
      <c r="V50">
        <v>152.62</v>
      </c>
      <c r="W50">
        <v>190.43</v>
      </c>
      <c r="X50">
        <v>161.74</v>
      </c>
      <c r="Y50">
        <v>204.4</v>
      </c>
      <c r="Z50">
        <v>211.1</v>
      </c>
      <c r="AB50">
        <v>25</v>
      </c>
      <c r="AC50">
        <v>965</v>
      </c>
      <c r="AD50">
        <v>0</v>
      </c>
      <c r="AE50">
        <v>21.56</v>
      </c>
    </row>
    <row r="51" spans="1:31" x14ac:dyDescent="0.25">
      <c r="A51" t="s">
        <v>96</v>
      </c>
      <c r="B51">
        <v>9.33</v>
      </c>
      <c r="C51">
        <v>169.53</v>
      </c>
      <c r="D51">
        <v>179.2</v>
      </c>
      <c r="E51">
        <v>181.72</v>
      </c>
      <c r="F51">
        <v>190.06</v>
      </c>
      <c r="G51">
        <v>137.07</v>
      </c>
      <c r="H51">
        <v>175.61</v>
      </c>
      <c r="I51">
        <v>151.58000000000001</v>
      </c>
      <c r="J51">
        <v>100.55</v>
      </c>
      <c r="K51">
        <v>85.92</v>
      </c>
      <c r="L51">
        <v>159.28</v>
      </c>
      <c r="M51">
        <v>201.07</v>
      </c>
      <c r="N51">
        <v>169.53</v>
      </c>
      <c r="O51">
        <v>127.88</v>
      </c>
      <c r="P51">
        <v>147.06</v>
      </c>
      <c r="Q51">
        <v>186.06</v>
      </c>
      <c r="R51">
        <v>118.11</v>
      </c>
      <c r="S51">
        <v>197.38</v>
      </c>
      <c r="T51">
        <v>203.66</v>
      </c>
      <c r="U51">
        <v>181.36</v>
      </c>
      <c r="V51">
        <v>151.93</v>
      </c>
      <c r="W51">
        <v>190.06</v>
      </c>
      <c r="X51">
        <v>160.69</v>
      </c>
      <c r="Y51">
        <v>203.66</v>
      </c>
      <c r="Z51">
        <v>210.72</v>
      </c>
      <c r="AB51">
        <v>25</v>
      </c>
      <c r="AC51">
        <v>965</v>
      </c>
      <c r="AD51">
        <v>0</v>
      </c>
      <c r="AE51">
        <v>21.56</v>
      </c>
    </row>
    <row r="52" spans="1:31" x14ac:dyDescent="0.25">
      <c r="A52" t="s">
        <v>97</v>
      </c>
      <c r="B52">
        <v>9.58</v>
      </c>
      <c r="C52">
        <v>168.47</v>
      </c>
      <c r="D52">
        <v>179.56</v>
      </c>
      <c r="E52">
        <v>182.08</v>
      </c>
      <c r="F52">
        <v>189.7</v>
      </c>
      <c r="G52">
        <v>136.72999999999999</v>
      </c>
      <c r="H52">
        <v>174.89</v>
      </c>
      <c r="I52">
        <v>151.93</v>
      </c>
      <c r="J52">
        <v>99.89</v>
      </c>
      <c r="K52">
        <v>84.63</v>
      </c>
      <c r="L52">
        <v>158.57</v>
      </c>
      <c r="M52">
        <v>201.81</v>
      </c>
      <c r="N52">
        <v>169.53</v>
      </c>
      <c r="O52">
        <v>126.86</v>
      </c>
      <c r="P52">
        <v>147.06</v>
      </c>
      <c r="Q52">
        <v>185.34</v>
      </c>
      <c r="R52">
        <v>117.77</v>
      </c>
      <c r="S52">
        <v>197.02</v>
      </c>
      <c r="T52">
        <v>202.92</v>
      </c>
      <c r="U52">
        <v>181</v>
      </c>
      <c r="V52">
        <v>152.28</v>
      </c>
      <c r="W52">
        <v>190.06</v>
      </c>
      <c r="X52">
        <v>160.33000000000001</v>
      </c>
      <c r="Y52">
        <v>204.77</v>
      </c>
      <c r="Z52">
        <v>210.35</v>
      </c>
      <c r="AB52">
        <v>25</v>
      </c>
      <c r="AC52">
        <v>965</v>
      </c>
      <c r="AD52">
        <v>0</v>
      </c>
      <c r="AE52">
        <v>21.56</v>
      </c>
    </row>
    <row r="53" spans="1:31" x14ac:dyDescent="0.25">
      <c r="A53" t="s">
        <v>98</v>
      </c>
      <c r="B53">
        <v>9.83</v>
      </c>
      <c r="C53">
        <v>168.47</v>
      </c>
      <c r="D53">
        <v>178.12</v>
      </c>
      <c r="E53">
        <v>180.64</v>
      </c>
      <c r="F53">
        <v>188.97</v>
      </c>
      <c r="G53">
        <v>136.05000000000001</v>
      </c>
      <c r="H53">
        <v>174.17</v>
      </c>
      <c r="I53">
        <v>149.84</v>
      </c>
      <c r="J53">
        <v>99.56</v>
      </c>
      <c r="K53">
        <v>83.98</v>
      </c>
      <c r="L53">
        <v>157.16999999999999</v>
      </c>
      <c r="M53">
        <v>199.96</v>
      </c>
      <c r="N53">
        <v>167.76</v>
      </c>
      <c r="O53">
        <v>125.85</v>
      </c>
      <c r="P53">
        <v>146.37</v>
      </c>
      <c r="Q53">
        <v>184.97</v>
      </c>
      <c r="R53">
        <v>115.43</v>
      </c>
      <c r="S53">
        <v>196.28</v>
      </c>
      <c r="T53">
        <v>202.55</v>
      </c>
      <c r="U53">
        <v>179.92</v>
      </c>
      <c r="V53">
        <v>150.88</v>
      </c>
      <c r="W53">
        <v>188.97</v>
      </c>
      <c r="X53">
        <v>159.97999999999999</v>
      </c>
      <c r="Y53">
        <v>204.03</v>
      </c>
      <c r="Z53">
        <v>210.72</v>
      </c>
      <c r="AB53">
        <v>25</v>
      </c>
      <c r="AC53">
        <v>965</v>
      </c>
      <c r="AD53">
        <v>0</v>
      </c>
      <c r="AE53">
        <v>21.56</v>
      </c>
    </row>
    <row r="54" spans="1:31" x14ac:dyDescent="0.25">
      <c r="A54" t="s">
        <v>99</v>
      </c>
      <c r="B54">
        <v>10.08</v>
      </c>
      <c r="C54">
        <v>168.11</v>
      </c>
      <c r="D54">
        <v>177.76</v>
      </c>
      <c r="E54">
        <v>180.28</v>
      </c>
      <c r="F54">
        <v>188.97</v>
      </c>
      <c r="G54">
        <v>135.02000000000001</v>
      </c>
      <c r="H54">
        <v>173.82</v>
      </c>
      <c r="I54">
        <v>149.84</v>
      </c>
      <c r="J54">
        <v>98.58</v>
      </c>
      <c r="K54">
        <v>83.34</v>
      </c>
      <c r="L54">
        <v>157.87</v>
      </c>
      <c r="M54">
        <v>201.44</v>
      </c>
      <c r="N54">
        <v>167.4</v>
      </c>
      <c r="O54">
        <v>125.51</v>
      </c>
      <c r="P54">
        <v>147.06</v>
      </c>
      <c r="Q54">
        <v>184.61</v>
      </c>
      <c r="R54">
        <v>115.77</v>
      </c>
      <c r="S54">
        <v>198.49</v>
      </c>
      <c r="T54">
        <v>202.92</v>
      </c>
      <c r="U54">
        <v>180.64</v>
      </c>
      <c r="V54">
        <v>150.19</v>
      </c>
      <c r="W54">
        <v>190.43</v>
      </c>
      <c r="X54">
        <v>159.28</v>
      </c>
      <c r="Y54">
        <v>204.77</v>
      </c>
      <c r="Z54">
        <v>211.47</v>
      </c>
      <c r="AB54">
        <v>25</v>
      </c>
      <c r="AC54">
        <v>965</v>
      </c>
      <c r="AD54">
        <v>0</v>
      </c>
      <c r="AE54">
        <v>21.54</v>
      </c>
    </row>
    <row r="55" spans="1:31" x14ac:dyDescent="0.25">
      <c r="A55" t="s">
        <v>100</v>
      </c>
      <c r="B55">
        <v>10.35</v>
      </c>
      <c r="C55">
        <v>167.4</v>
      </c>
      <c r="D55">
        <v>177.04</v>
      </c>
      <c r="E55">
        <v>178.48</v>
      </c>
      <c r="F55">
        <v>188.97</v>
      </c>
      <c r="G55">
        <v>135.02000000000001</v>
      </c>
      <c r="H55">
        <v>173.1</v>
      </c>
      <c r="I55">
        <v>148.80000000000001</v>
      </c>
      <c r="J55">
        <v>97.6</v>
      </c>
      <c r="K55">
        <v>82.7</v>
      </c>
      <c r="L55">
        <v>157.52000000000001</v>
      </c>
      <c r="M55">
        <v>201.07</v>
      </c>
      <c r="N55">
        <v>165.63</v>
      </c>
      <c r="O55">
        <v>124.16</v>
      </c>
      <c r="P55">
        <v>145.33000000000001</v>
      </c>
      <c r="Q55">
        <v>183.53</v>
      </c>
      <c r="R55">
        <v>114.1</v>
      </c>
      <c r="S55">
        <v>197.38</v>
      </c>
      <c r="T55">
        <v>203.29</v>
      </c>
      <c r="U55">
        <v>178.84</v>
      </c>
      <c r="V55">
        <v>149.49</v>
      </c>
      <c r="W55">
        <v>189.33</v>
      </c>
      <c r="X55">
        <v>158.22</v>
      </c>
      <c r="Y55">
        <v>202.92</v>
      </c>
      <c r="Z55">
        <v>211.1</v>
      </c>
      <c r="AB55">
        <v>25</v>
      </c>
      <c r="AC55">
        <v>965</v>
      </c>
      <c r="AD55">
        <v>0</v>
      </c>
      <c r="AE55">
        <v>21.56</v>
      </c>
    </row>
    <row r="56" spans="1:31" x14ac:dyDescent="0.25">
      <c r="A56" t="s">
        <v>101</v>
      </c>
      <c r="B56">
        <v>10.6</v>
      </c>
      <c r="C56">
        <v>167.05</v>
      </c>
      <c r="D56">
        <v>177.04</v>
      </c>
      <c r="E56">
        <v>178.12</v>
      </c>
      <c r="F56">
        <v>189.33</v>
      </c>
      <c r="G56">
        <v>134</v>
      </c>
      <c r="H56">
        <v>172.03</v>
      </c>
      <c r="I56">
        <v>147.41</v>
      </c>
      <c r="J56">
        <v>97.27</v>
      </c>
      <c r="K56">
        <v>82.38</v>
      </c>
      <c r="L56">
        <v>157.16999999999999</v>
      </c>
      <c r="M56">
        <v>200.33</v>
      </c>
      <c r="N56">
        <v>165.98</v>
      </c>
      <c r="O56">
        <v>122.81</v>
      </c>
      <c r="P56">
        <v>146.02000000000001</v>
      </c>
      <c r="Q56">
        <v>183.16</v>
      </c>
      <c r="R56">
        <v>114.1</v>
      </c>
      <c r="S56">
        <v>196.65</v>
      </c>
      <c r="T56">
        <v>204.03</v>
      </c>
      <c r="U56">
        <v>178.84</v>
      </c>
      <c r="V56">
        <v>149.13999999999999</v>
      </c>
      <c r="W56">
        <v>189.33</v>
      </c>
      <c r="X56">
        <v>157.52000000000001</v>
      </c>
      <c r="Y56">
        <v>204.4</v>
      </c>
      <c r="Z56">
        <v>211.1</v>
      </c>
      <c r="AB56">
        <v>25</v>
      </c>
      <c r="AC56">
        <v>965</v>
      </c>
      <c r="AD56">
        <v>0</v>
      </c>
      <c r="AE56">
        <v>21.56</v>
      </c>
    </row>
    <row r="57" spans="1:31" x14ac:dyDescent="0.25">
      <c r="A57" t="s">
        <v>102</v>
      </c>
      <c r="B57">
        <v>10.85</v>
      </c>
      <c r="C57">
        <v>166.34</v>
      </c>
      <c r="D57">
        <v>175.96</v>
      </c>
      <c r="E57">
        <v>178.84</v>
      </c>
      <c r="F57">
        <v>187.88</v>
      </c>
      <c r="G57">
        <v>133.65</v>
      </c>
      <c r="H57">
        <v>172.03</v>
      </c>
      <c r="I57">
        <v>146.37</v>
      </c>
      <c r="J57">
        <v>96.29</v>
      </c>
      <c r="K57">
        <v>81.42</v>
      </c>
      <c r="L57">
        <v>156.47</v>
      </c>
      <c r="M57">
        <v>199.96</v>
      </c>
      <c r="N57">
        <v>164.92</v>
      </c>
      <c r="O57">
        <v>122.47</v>
      </c>
      <c r="P57">
        <v>145.68</v>
      </c>
      <c r="Q57">
        <v>182.08</v>
      </c>
      <c r="R57">
        <v>112.44</v>
      </c>
      <c r="S57">
        <v>197.38</v>
      </c>
      <c r="T57">
        <v>203.29</v>
      </c>
      <c r="U57">
        <v>177.76</v>
      </c>
      <c r="V57">
        <v>148.1</v>
      </c>
      <c r="W57">
        <v>188.61</v>
      </c>
      <c r="X57">
        <v>156.82</v>
      </c>
      <c r="Y57">
        <v>204.03</v>
      </c>
      <c r="Z57">
        <v>210.35</v>
      </c>
      <c r="AB57">
        <v>25</v>
      </c>
      <c r="AC57">
        <v>965</v>
      </c>
      <c r="AD57">
        <v>0</v>
      </c>
      <c r="AE57">
        <v>21.54</v>
      </c>
    </row>
    <row r="58" spans="1:31" x14ac:dyDescent="0.25">
      <c r="A58" t="s">
        <v>103</v>
      </c>
      <c r="B58">
        <v>11.1</v>
      </c>
      <c r="C58">
        <v>166.34</v>
      </c>
      <c r="D58">
        <v>175.61</v>
      </c>
      <c r="E58">
        <v>177.4</v>
      </c>
      <c r="F58">
        <v>188.97</v>
      </c>
      <c r="G58">
        <v>134</v>
      </c>
      <c r="H58">
        <v>171.67</v>
      </c>
      <c r="I58">
        <v>146.02000000000001</v>
      </c>
      <c r="J58">
        <v>95.31</v>
      </c>
      <c r="K58">
        <v>81.099999999999994</v>
      </c>
      <c r="L58">
        <v>156.82</v>
      </c>
      <c r="M58">
        <v>201.81</v>
      </c>
      <c r="N58">
        <v>163.51</v>
      </c>
      <c r="O58">
        <v>121.46</v>
      </c>
      <c r="P58">
        <v>145.33000000000001</v>
      </c>
      <c r="Q58">
        <v>182.44</v>
      </c>
      <c r="R58">
        <v>112.1</v>
      </c>
      <c r="S58">
        <v>197.75</v>
      </c>
      <c r="T58">
        <v>202.92</v>
      </c>
      <c r="U58">
        <v>177.76</v>
      </c>
      <c r="V58">
        <v>148.44999999999999</v>
      </c>
      <c r="W58">
        <v>188.97</v>
      </c>
      <c r="X58">
        <v>157.16999999999999</v>
      </c>
      <c r="Y58">
        <v>203.66</v>
      </c>
      <c r="Z58">
        <v>210.72</v>
      </c>
      <c r="AB58">
        <v>25</v>
      </c>
      <c r="AC58">
        <v>965</v>
      </c>
      <c r="AD58">
        <v>0</v>
      </c>
      <c r="AE58">
        <v>21.54</v>
      </c>
    </row>
    <row r="59" spans="1:31" x14ac:dyDescent="0.25">
      <c r="A59" t="s">
        <v>104</v>
      </c>
      <c r="B59">
        <v>11.35</v>
      </c>
      <c r="C59">
        <v>165.63</v>
      </c>
      <c r="D59">
        <v>174.89</v>
      </c>
      <c r="E59">
        <v>177.04</v>
      </c>
      <c r="F59">
        <v>187.88</v>
      </c>
      <c r="G59">
        <v>132.63</v>
      </c>
      <c r="H59">
        <v>170.96</v>
      </c>
      <c r="I59">
        <v>145.33000000000001</v>
      </c>
      <c r="J59">
        <v>94.66</v>
      </c>
      <c r="K59">
        <v>80.78</v>
      </c>
      <c r="L59">
        <v>156.47</v>
      </c>
      <c r="M59">
        <v>199.96</v>
      </c>
      <c r="N59">
        <v>163.15</v>
      </c>
      <c r="O59">
        <v>120.46</v>
      </c>
      <c r="P59">
        <v>144.99</v>
      </c>
      <c r="Q59">
        <v>181.36</v>
      </c>
      <c r="R59">
        <v>110.44</v>
      </c>
      <c r="S59">
        <v>196.28</v>
      </c>
      <c r="T59">
        <v>203.66</v>
      </c>
      <c r="U59">
        <v>176.68</v>
      </c>
      <c r="V59">
        <v>146.72</v>
      </c>
      <c r="W59">
        <v>187.88</v>
      </c>
      <c r="X59">
        <v>155.77000000000001</v>
      </c>
      <c r="Y59">
        <v>204.77</v>
      </c>
      <c r="Z59">
        <v>210.35</v>
      </c>
      <c r="AB59">
        <v>25</v>
      </c>
      <c r="AC59">
        <v>965</v>
      </c>
      <c r="AD59">
        <v>0</v>
      </c>
      <c r="AE59">
        <v>21.54</v>
      </c>
    </row>
    <row r="60" spans="1:31" x14ac:dyDescent="0.25">
      <c r="A60" t="s">
        <v>105</v>
      </c>
      <c r="B60">
        <v>11.6</v>
      </c>
      <c r="C60">
        <v>164.92</v>
      </c>
      <c r="D60">
        <v>174.17</v>
      </c>
      <c r="E60">
        <v>175.61</v>
      </c>
      <c r="F60">
        <v>187.88</v>
      </c>
      <c r="G60">
        <v>131.27000000000001</v>
      </c>
      <c r="H60">
        <v>170.6</v>
      </c>
      <c r="I60">
        <v>144.29</v>
      </c>
      <c r="J60">
        <v>94.66</v>
      </c>
      <c r="K60">
        <v>79.81</v>
      </c>
      <c r="L60">
        <v>156.12</v>
      </c>
      <c r="M60">
        <v>199.59</v>
      </c>
      <c r="N60">
        <v>161.04</v>
      </c>
      <c r="O60">
        <v>119.45</v>
      </c>
      <c r="P60">
        <v>144.63999999999999</v>
      </c>
      <c r="Q60">
        <v>180.64</v>
      </c>
      <c r="R60">
        <v>110.11</v>
      </c>
      <c r="S60">
        <v>197.38</v>
      </c>
      <c r="T60">
        <v>202.92</v>
      </c>
      <c r="U60">
        <v>175.61</v>
      </c>
      <c r="V60">
        <v>146.02000000000001</v>
      </c>
      <c r="W60">
        <v>187.51</v>
      </c>
      <c r="X60">
        <v>155.41999999999999</v>
      </c>
      <c r="Y60">
        <v>204.03</v>
      </c>
      <c r="Z60">
        <v>210.72</v>
      </c>
      <c r="AB60">
        <v>25</v>
      </c>
      <c r="AC60">
        <v>965</v>
      </c>
      <c r="AD60">
        <v>0</v>
      </c>
      <c r="AE60">
        <v>21.54</v>
      </c>
    </row>
    <row r="61" spans="1:31" x14ac:dyDescent="0.25">
      <c r="A61" t="s">
        <v>106</v>
      </c>
      <c r="B61">
        <v>11.85</v>
      </c>
      <c r="C61">
        <v>164.92</v>
      </c>
      <c r="D61">
        <v>173.46</v>
      </c>
      <c r="E61">
        <v>175.25</v>
      </c>
      <c r="F61">
        <v>187.51</v>
      </c>
      <c r="G61">
        <v>130.93</v>
      </c>
      <c r="H61">
        <v>170.25</v>
      </c>
      <c r="I61">
        <v>142.91</v>
      </c>
      <c r="J61">
        <v>93.36</v>
      </c>
      <c r="K61">
        <v>78.540000000000006</v>
      </c>
      <c r="L61">
        <v>155.41999999999999</v>
      </c>
      <c r="M61">
        <v>200.33</v>
      </c>
      <c r="N61">
        <v>161.04</v>
      </c>
      <c r="O61">
        <v>118.44</v>
      </c>
      <c r="P61">
        <v>144.29</v>
      </c>
      <c r="Q61">
        <v>179.92</v>
      </c>
      <c r="R61">
        <v>109.45</v>
      </c>
      <c r="S61">
        <v>196.65</v>
      </c>
      <c r="T61">
        <v>202.18</v>
      </c>
      <c r="U61">
        <v>175.61</v>
      </c>
      <c r="V61">
        <v>145.68</v>
      </c>
      <c r="W61">
        <v>187.51</v>
      </c>
      <c r="X61">
        <v>155.07</v>
      </c>
      <c r="Y61">
        <v>203.29</v>
      </c>
      <c r="Z61">
        <v>210.72</v>
      </c>
      <c r="AB61">
        <v>25</v>
      </c>
      <c r="AC61">
        <v>965</v>
      </c>
      <c r="AD61">
        <v>0</v>
      </c>
      <c r="AE61">
        <v>21.54</v>
      </c>
    </row>
    <row r="62" spans="1:31" x14ac:dyDescent="0.25">
      <c r="A62" t="s">
        <v>107</v>
      </c>
      <c r="B62">
        <v>12.1</v>
      </c>
      <c r="C62">
        <v>163.86</v>
      </c>
      <c r="D62">
        <v>172.03</v>
      </c>
      <c r="E62">
        <v>174.17</v>
      </c>
      <c r="F62">
        <v>187.15</v>
      </c>
      <c r="G62">
        <v>130.25</v>
      </c>
      <c r="H62">
        <v>168.47</v>
      </c>
      <c r="I62">
        <v>142.91</v>
      </c>
      <c r="J62">
        <v>92.71</v>
      </c>
      <c r="K62">
        <v>77.900000000000006</v>
      </c>
      <c r="L62">
        <v>154.72</v>
      </c>
      <c r="M62">
        <v>199.59</v>
      </c>
      <c r="N62">
        <v>159.97999999999999</v>
      </c>
      <c r="O62">
        <v>117.77</v>
      </c>
      <c r="P62">
        <v>143.6</v>
      </c>
      <c r="Q62">
        <v>179.92</v>
      </c>
      <c r="R62">
        <v>108.12</v>
      </c>
      <c r="S62">
        <v>197.38</v>
      </c>
      <c r="T62">
        <v>202.55</v>
      </c>
      <c r="U62">
        <v>174.89</v>
      </c>
      <c r="V62">
        <v>144.99</v>
      </c>
      <c r="W62">
        <v>187.15</v>
      </c>
      <c r="X62">
        <v>154.37</v>
      </c>
      <c r="Y62">
        <v>203.29</v>
      </c>
      <c r="Z62">
        <v>209.6</v>
      </c>
      <c r="AB62">
        <v>25</v>
      </c>
      <c r="AC62">
        <v>965</v>
      </c>
      <c r="AD62">
        <v>0</v>
      </c>
      <c r="AE62">
        <v>21.52</v>
      </c>
    </row>
    <row r="63" spans="1:31" x14ac:dyDescent="0.25">
      <c r="A63" t="s">
        <v>108</v>
      </c>
      <c r="B63">
        <v>12.35</v>
      </c>
      <c r="C63">
        <v>163.51</v>
      </c>
      <c r="D63">
        <v>171.32</v>
      </c>
      <c r="E63">
        <v>173.82</v>
      </c>
      <c r="F63">
        <v>187.51</v>
      </c>
      <c r="G63">
        <v>130.25</v>
      </c>
      <c r="H63">
        <v>169.18</v>
      </c>
      <c r="I63">
        <v>141.88</v>
      </c>
      <c r="J63">
        <v>92.71</v>
      </c>
      <c r="K63">
        <v>77.58</v>
      </c>
      <c r="L63">
        <v>154.72</v>
      </c>
      <c r="M63">
        <v>200.7</v>
      </c>
      <c r="N63">
        <v>159.28</v>
      </c>
      <c r="O63">
        <v>117.44</v>
      </c>
      <c r="P63">
        <v>143.94999999999999</v>
      </c>
      <c r="Q63">
        <v>178.84</v>
      </c>
      <c r="R63">
        <v>107.13</v>
      </c>
      <c r="S63">
        <v>196.65</v>
      </c>
      <c r="T63">
        <v>202.55</v>
      </c>
      <c r="U63">
        <v>173.46</v>
      </c>
      <c r="V63">
        <v>143.94999999999999</v>
      </c>
      <c r="W63">
        <v>187.15</v>
      </c>
      <c r="X63">
        <v>153.66999999999999</v>
      </c>
      <c r="Y63">
        <v>203.29</v>
      </c>
      <c r="Z63">
        <v>211.1</v>
      </c>
      <c r="AB63">
        <v>25</v>
      </c>
      <c r="AC63">
        <v>965</v>
      </c>
      <c r="AD63">
        <v>0</v>
      </c>
      <c r="AE63">
        <v>21.54</v>
      </c>
    </row>
    <row r="64" spans="1:31" x14ac:dyDescent="0.25">
      <c r="A64" t="s">
        <v>109</v>
      </c>
      <c r="B64">
        <v>12.6</v>
      </c>
      <c r="C64">
        <v>163.15</v>
      </c>
      <c r="D64">
        <v>171.67</v>
      </c>
      <c r="E64">
        <v>173.1</v>
      </c>
      <c r="F64">
        <v>186.06</v>
      </c>
      <c r="G64">
        <v>129.91</v>
      </c>
      <c r="H64">
        <v>168.47</v>
      </c>
      <c r="I64">
        <v>140.5</v>
      </c>
      <c r="J64">
        <v>93.04</v>
      </c>
      <c r="K64">
        <v>76.94</v>
      </c>
      <c r="L64">
        <v>155.07</v>
      </c>
      <c r="M64">
        <v>200.7</v>
      </c>
      <c r="N64">
        <v>158.22</v>
      </c>
      <c r="O64">
        <v>116.1</v>
      </c>
      <c r="P64">
        <v>143.26</v>
      </c>
      <c r="Q64">
        <v>179.2</v>
      </c>
      <c r="R64">
        <v>107.46</v>
      </c>
      <c r="S64">
        <v>197.02</v>
      </c>
      <c r="T64">
        <v>202.55</v>
      </c>
      <c r="U64">
        <v>172.74</v>
      </c>
      <c r="V64">
        <v>144.29</v>
      </c>
      <c r="W64">
        <v>187.15</v>
      </c>
      <c r="X64">
        <v>153.32</v>
      </c>
      <c r="Y64">
        <v>202.92</v>
      </c>
      <c r="Z64">
        <v>210.35</v>
      </c>
      <c r="AB64">
        <v>25</v>
      </c>
      <c r="AC64">
        <v>965</v>
      </c>
      <c r="AD64">
        <v>0</v>
      </c>
      <c r="AE64">
        <v>21.54</v>
      </c>
    </row>
    <row r="65" spans="1:31" x14ac:dyDescent="0.25">
      <c r="A65" t="s">
        <v>110</v>
      </c>
      <c r="B65">
        <v>12.85</v>
      </c>
      <c r="C65">
        <v>162.80000000000001</v>
      </c>
      <c r="D65">
        <v>170.96</v>
      </c>
      <c r="E65">
        <v>173.1</v>
      </c>
      <c r="F65">
        <v>186.79</v>
      </c>
      <c r="G65">
        <v>129.22999999999999</v>
      </c>
      <c r="H65">
        <v>168.11</v>
      </c>
      <c r="I65">
        <v>140.5</v>
      </c>
      <c r="J65">
        <v>92.06</v>
      </c>
      <c r="K65">
        <v>76.3</v>
      </c>
      <c r="L65">
        <v>154.72</v>
      </c>
      <c r="M65">
        <v>199.96</v>
      </c>
      <c r="N65">
        <v>157.16999999999999</v>
      </c>
      <c r="O65">
        <v>115.43</v>
      </c>
      <c r="P65">
        <v>143.26</v>
      </c>
      <c r="Q65">
        <v>177.76</v>
      </c>
      <c r="R65">
        <v>106.14</v>
      </c>
      <c r="S65">
        <v>196.65</v>
      </c>
      <c r="T65">
        <v>203.29</v>
      </c>
      <c r="U65">
        <v>172.03</v>
      </c>
      <c r="V65">
        <v>143.26</v>
      </c>
      <c r="W65">
        <v>187.51</v>
      </c>
      <c r="X65">
        <v>152.28</v>
      </c>
      <c r="Y65">
        <v>203.29</v>
      </c>
      <c r="Z65">
        <v>209.98</v>
      </c>
      <c r="AB65">
        <v>25</v>
      </c>
      <c r="AC65">
        <v>965</v>
      </c>
      <c r="AD65">
        <v>0</v>
      </c>
      <c r="AE65">
        <v>21.54</v>
      </c>
    </row>
    <row r="66" spans="1:31" x14ac:dyDescent="0.25">
      <c r="A66" t="s">
        <v>111</v>
      </c>
      <c r="B66">
        <v>13.1</v>
      </c>
      <c r="C66">
        <v>162.44999999999999</v>
      </c>
      <c r="D66">
        <v>170.6</v>
      </c>
      <c r="E66">
        <v>172.03</v>
      </c>
      <c r="F66">
        <v>186.42</v>
      </c>
      <c r="G66">
        <v>128.88999999999999</v>
      </c>
      <c r="H66">
        <v>167.76</v>
      </c>
      <c r="I66">
        <v>138.1</v>
      </c>
      <c r="J66">
        <v>92.06</v>
      </c>
      <c r="K66">
        <v>75.98</v>
      </c>
      <c r="L66">
        <v>154.72</v>
      </c>
      <c r="M66">
        <v>199.96</v>
      </c>
      <c r="N66">
        <v>156.12</v>
      </c>
      <c r="O66">
        <v>114.77</v>
      </c>
      <c r="P66">
        <v>142.91</v>
      </c>
      <c r="Q66">
        <v>177.04</v>
      </c>
      <c r="R66">
        <v>105.81</v>
      </c>
      <c r="S66">
        <v>197.02</v>
      </c>
      <c r="T66">
        <v>202.55</v>
      </c>
      <c r="U66">
        <v>171.67</v>
      </c>
      <c r="V66">
        <v>143.26</v>
      </c>
      <c r="W66">
        <v>187.51</v>
      </c>
      <c r="X66">
        <v>151.93</v>
      </c>
      <c r="Y66">
        <v>203.66</v>
      </c>
      <c r="Z66">
        <v>211.1</v>
      </c>
      <c r="AB66">
        <v>25</v>
      </c>
      <c r="AC66">
        <v>965</v>
      </c>
      <c r="AD66">
        <v>0</v>
      </c>
      <c r="AE66">
        <v>21.54</v>
      </c>
    </row>
    <row r="67" spans="1:31" x14ac:dyDescent="0.25">
      <c r="A67" t="s">
        <v>112</v>
      </c>
      <c r="B67">
        <v>13.35</v>
      </c>
      <c r="C67">
        <v>161.74</v>
      </c>
      <c r="D67">
        <v>169.53</v>
      </c>
      <c r="E67">
        <v>171.32</v>
      </c>
      <c r="F67">
        <v>186.06</v>
      </c>
      <c r="G67">
        <v>128.21</v>
      </c>
      <c r="H67">
        <v>167.76</v>
      </c>
      <c r="I67">
        <v>138.1</v>
      </c>
      <c r="J67">
        <v>91.09</v>
      </c>
      <c r="K67">
        <v>75.67</v>
      </c>
      <c r="L67">
        <v>153.66999999999999</v>
      </c>
      <c r="M67">
        <v>199.22</v>
      </c>
      <c r="N67">
        <v>155.07</v>
      </c>
      <c r="O67">
        <v>113.43</v>
      </c>
      <c r="P67">
        <v>142.57</v>
      </c>
      <c r="Q67">
        <v>176.68</v>
      </c>
      <c r="R67">
        <v>103.83</v>
      </c>
      <c r="S67">
        <v>197.02</v>
      </c>
      <c r="T67">
        <v>203.29</v>
      </c>
      <c r="U67">
        <v>170.6</v>
      </c>
      <c r="V67">
        <v>142.91</v>
      </c>
      <c r="W67">
        <v>186.79</v>
      </c>
      <c r="X67">
        <v>151.22999999999999</v>
      </c>
      <c r="Y67">
        <v>203.29</v>
      </c>
      <c r="Z67">
        <v>210.35</v>
      </c>
      <c r="AB67">
        <v>25</v>
      </c>
      <c r="AC67">
        <v>965</v>
      </c>
      <c r="AD67">
        <v>0</v>
      </c>
      <c r="AE67">
        <v>21.52</v>
      </c>
    </row>
    <row r="68" spans="1:31" x14ac:dyDescent="0.25">
      <c r="A68" t="s">
        <v>113</v>
      </c>
      <c r="B68">
        <v>13.6</v>
      </c>
      <c r="C68">
        <v>161.38999999999999</v>
      </c>
      <c r="D68">
        <v>168.82</v>
      </c>
      <c r="E68">
        <v>170.6</v>
      </c>
      <c r="F68">
        <v>185.7</v>
      </c>
      <c r="G68">
        <v>128.21</v>
      </c>
      <c r="H68">
        <v>166.34</v>
      </c>
      <c r="I68">
        <v>137.07</v>
      </c>
      <c r="J68">
        <v>90.44</v>
      </c>
      <c r="K68">
        <v>75.03</v>
      </c>
      <c r="L68">
        <v>153.66999999999999</v>
      </c>
      <c r="M68">
        <v>199.96</v>
      </c>
      <c r="N68">
        <v>154.02000000000001</v>
      </c>
      <c r="O68">
        <v>112.77</v>
      </c>
      <c r="P68">
        <v>142.57</v>
      </c>
      <c r="Q68">
        <v>175.61</v>
      </c>
      <c r="R68">
        <v>103.83</v>
      </c>
      <c r="S68">
        <v>197.38</v>
      </c>
      <c r="T68">
        <v>202.55</v>
      </c>
      <c r="U68">
        <v>170.25</v>
      </c>
      <c r="V68">
        <v>142.22</v>
      </c>
      <c r="W68">
        <v>186.06</v>
      </c>
      <c r="X68">
        <v>150.53</v>
      </c>
      <c r="Y68">
        <v>202.92</v>
      </c>
      <c r="Z68">
        <v>210.72</v>
      </c>
      <c r="AB68">
        <v>25</v>
      </c>
      <c r="AC68">
        <v>965</v>
      </c>
      <c r="AD68">
        <v>0</v>
      </c>
      <c r="AE68">
        <v>21.52</v>
      </c>
    </row>
    <row r="69" spans="1:31" x14ac:dyDescent="0.25">
      <c r="A69" t="s">
        <v>114</v>
      </c>
      <c r="B69">
        <v>13.85</v>
      </c>
      <c r="C69">
        <v>160.69</v>
      </c>
      <c r="D69">
        <v>168.11</v>
      </c>
      <c r="E69">
        <v>169.89</v>
      </c>
      <c r="F69">
        <v>185.7</v>
      </c>
      <c r="G69">
        <v>127.2</v>
      </c>
      <c r="H69">
        <v>165.98</v>
      </c>
      <c r="I69">
        <v>136.72999999999999</v>
      </c>
      <c r="J69">
        <v>90.44</v>
      </c>
      <c r="K69">
        <v>74.39</v>
      </c>
      <c r="L69">
        <v>154.02000000000001</v>
      </c>
      <c r="M69">
        <v>200.33</v>
      </c>
      <c r="N69">
        <v>152.97</v>
      </c>
      <c r="O69">
        <v>111.77</v>
      </c>
      <c r="P69">
        <v>142.22</v>
      </c>
      <c r="Q69">
        <v>175.61</v>
      </c>
      <c r="R69">
        <v>103.17</v>
      </c>
      <c r="S69">
        <v>196.28</v>
      </c>
      <c r="T69">
        <v>202.55</v>
      </c>
      <c r="U69">
        <v>169.18</v>
      </c>
      <c r="V69">
        <v>142.22</v>
      </c>
      <c r="W69">
        <v>186.06</v>
      </c>
      <c r="X69">
        <v>150.88</v>
      </c>
      <c r="Y69">
        <v>202.92</v>
      </c>
      <c r="Z69">
        <v>209.98</v>
      </c>
      <c r="AB69">
        <v>25</v>
      </c>
      <c r="AC69">
        <v>965</v>
      </c>
      <c r="AD69">
        <v>0</v>
      </c>
      <c r="AE69">
        <v>21.52</v>
      </c>
    </row>
    <row r="70" spans="1:31" x14ac:dyDescent="0.25">
      <c r="A70" t="s">
        <v>115</v>
      </c>
      <c r="B70">
        <v>14.1</v>
      </c>
      <c r="C70">
        <v>160.69</v>
      </c>
      <c r="D70">
        <v>167.05</v>
      </c>
      <c r="E70">
        <v>169.53</v>
      </c>
      <c r="F70">
        <v>185.7</v>
      </c>
      <c r="G70">
        <v>126.18</v>
      </c>
      <c r="H70">
        <v>165.28</v>
      </c>
      <c r="I70">
        <v>135.02000000000001</v>
      </c>
      <c r="J70">
        <v>90.12</v>
      </c>
      <c r="K70">
        <v>73.760000000000005</v>
      </c>
      <c r="L70">
        <v>152.97</v>
      </c>
      <c r="M70">
        <v>198.12</v>
      </c>
      <c r="N70">
        <v>152.28</v>
      </c>
      <c r="O70">
        <v>111.11</v>
      </c>
      <c r="P70">
        <v>141.88</v>
      </c>
      <c r="Q70">
        <v>173.82</v>
      </c>
      <c r="R70">
        <v>102.19</v>
      </c>
      <c r="S70">
        <v>196.28</v>
      </c>
      <c r="T70">
        <v>202.92</v>
      </c>
      <c r="U70">
        <v>168.47</v>
      </c>
      <c r="V70">
        <v>141.19</v>
      </c>
      <c r="W70">
        <v>185.7</v>
      </c>
      <c r="X70">
        <v>148.80000000000001</v>
      </c>
      <c r="Y70">
        <v>202.18</v>
      </c>
      <c r="Z70">
        <v>210.72</v>
      </c>
      <c r="AB70">
        <v>25</v>
      </c>
      <c r="AC70">
        <v>965</v>
      </c>
      <c r="AD70">
        <v>0</v>
      </c>
      <c r="AE70">
        <v>21.52</v>
      </c>
    </row>
    <row r="71" spans="1:31" x14ac:dyDescent="0.25">
      <c r="A71" t="s">
        <v>116</v>
      </c>
      <c r="B71">
        <v>14.35</v>
      </c>
      <c r="C71">
        <v>160.33000000000001</v>
      </c>
      <c r="D71">
        <v>167.05</v>
      </c>
      <c r="E71">
        <v>168.47</v>
      </c>
      <c r="F71">
        <v>185.7</v>
      </c>
      <c r="G71">
        <v>126.52</v>
      </c>
      <c r="H71">
        <v>165.28</v>
      </c>
      <c r="I71">
        <v>134</v>
      </c>
      <c r="J71">
        <v>89.47</v>
      </c>
      <c r="K71">
        <v>72.81</v>
      </c>
      <c r="L71">
        <v>152.62</v>
      </c>
      <c r="M71">
        <v>199.96</v>
      </c>
      <c r="N71">
        <v>151.22999999999999</v>
      </c>
      <c r="O71">
        <v>109.78</v>
      </c>
      <c r="P71">
        <v>141.88</v>
      </c>
      <c r="Q71">
        <v>174.53</v>
      </c>
      <c r="R71">
        <v>101.53</v>
      </c>
      <c r="S71">
        <v>196.65</v>
      </c>
      <c r="T71">
        <v>203.29</v>
      </c>
      <c r="U71">
        <v>167.4</v>
      </c>
      <c r="V71">
        <v>140.5</v>
      </c>
      <c r="W71">
        <v>186.79</v>
      </c>
      <c r="X71">
        <v>149.49</v>
      </c>
      <c r="Y71">
        <v>203.29</v>
      </c>
      <c r="Z71">
        <v>209.98</v>
      </c>
      <c r="AB71">
        <v>25</v>
      </c>
      <c r="AC71">
        <v>965</v>
      </c>
      <c r="AD71">
        <v>0</v>
      </c>
      <c r="AE71">
        <v>21.52</v>
      </c>
    </row>
    <row r="72" spans="1:31" x14ac:dyDescent="0.25">
      <c r="A72" t="s">
        <v>117</v>
      </c>
      <c r="B72">
        <v>14.6</v>
      </c>
      <c r="C72">
        <v>159.97999999999999</v>
      </c>
      <c r="D72">
        <v>166.69</v>
      </c>
      <c r="E72">
        <v>167.76</v>
      </c>
      <c r="F72">
        <v>184.97</v>
      </c>
      <c r="G72">
        <v>126.52</v>
      </c>
      <c r="H72">
        <v>164.92</v>
      </c>
      <c r="I72">
        <v>134.34</v>
      </c>
      <c r="J72">
        <v>89.47</v>
      </c>
      <c r="K72">
        <v>72.489999999999995</v>
      </c>
      <c r="L72">
        <v>152.62</v>
      </c>
      <c r="M72">
        <v>199.22</v>
      </c>
      <c r="N72">
        <v>150.53</v>
      </c>
      <c r="O72">
        <v>109.45</v>
      </c>
      <c r="P72">
        <v>141.19</v>
      </c>
      <c r="Q72">
        <v>173.82</v>
      </c>
      <c r="R72">
        <v>101.2</v>
      </c>
      <c r="S72">
        <v>197.02</v>
      </c>
      <c r="T72">
        <v>202.55</v>
      </c>
      <c r="U72">
        <v>167.4</v>
      </c>
      <c r="V72">
        <v>140.5</v>
      </c>
      <c r="W72">
        <v>185.7</v>
      </c>
      <c r="X72">
        <v>148.80000000000001</v>
      </c>
      <c r="Y72">
        <v>202.55</v>
      </c>
      <c r="Z72">
        <v>209.6</v>
      </c>
      <c r="AB72">
        <v>25</v>
      </c>
      <c r="AC72">
        <v>965</v>
      </c>
      <c r="AD72">
        <v>0</v>
      </c>
      <c r="AE72">
        <v>21.52</v>
      </c>
    </row>
    <row r="73" spans="1:31" x14ac:dyDescent="0.25">
      <c r="A73" t="s">
        <v>118</v>
      </c>
      <c r="B73">
        <v>14.85</v>
      </c>
      <c r="C73">
        <v>159.63</v>
      </c>
      <c r="D73">
        <v>165.98</v>
      </c>
      <c r="E73">
        <v>168.11</v>
      </c>
      <c r="F73">
        <v>184.61</v>
      </c>
      <c r="G73">
        <v>125.51</v>
      </c>
      <c r="H73">
        <v>164.57</v>
      </c>
      <c r="I73">
        <v>133.65</v>
      </c>
      <c r="J73">
        <v>88.82</v>
      </c>
      <c r="K73">
        <v>71.849999999999994</v>
      </c>
      <c r="L73">
        <v>152.97</v>
      </c>
      <c r="M73">
        <v>199.96</v>
      </c>
      <c r="N73">
        <v>149.13999999999999</v>
      </c>
      <c r="O73">
        <v>108.45</v>
      </c>
      <c r="P73">
        <v>140.85</v>
      </c>
      <c r="Q73">
        <v>173.46</v>
      </c>
      <c r="R73">
        <v>100.22</v>
      </c>
      <c r="S73">
        <v>196.28</v>
      </c>
      <c r="T73">
        <v>202.55</v>
      </c>
      <c r="U73">
        <v>167.4</v>
      </c>
      <c r="V73">
        <v>140.5</v>
      </c>
      <c r="W73">
        <v>185.7</v>
      </c>
      <c r="X73">
        <v>148.1</v>
      </c>
      <c r="Y73">
        <v>203.29</v>
      </c>
      <c r="Z73">
        <v>210.35</v>
      </c>
      <c r="AB73">
        <v>25</v>
      </c>
      <c r="AC73">
        <v>965</v>
      </c>
      <c r="AD73">
        <v>0</v>
      </c>
      <c r="AE73">
        <v>21.52</v>
      </c>
    </row>
    <row r="74" spans="1:31" x14ac:dyDescent="0.25">
      <c r="A74" t="s">
        <v>119</v>
      </c>
      <c r="B74">
        <v>15.1</v>
      </c>
      <c r="C74">
        <v>159.28</v>
      </c>
      <c r="D74">
        <v>165.28</v>
      </c>
      <c r="E74">
        <v>167.05</v>
      </c>
      <c r="F74">
        <v>184.97</v>
      </c>
      <c r="G74">
        <v>125.51</v>
      </c>
      <c r="H74">
        <v>164.21</v>
      </c>
      <c r="I74">
        <v>132.97</v>
      </c>
      <c r="J74">
        <v>88.5</v>
      </c>
      <c r="K74">
        <v>71.22</v>
      </c>
      <c r="L74">
        <v>152.97</v>
      </c>
      <c r="M74">
        <v>199.22</v>
      </c>
      <c r="N74">
        <v>148.80000000000001</v>
      </c>
      <c r="O74">
        <v>107.13</v>
      </c>
      <c r="P74">
        <v>140.85</v>
      </c>
      <c r="Q74">
        <v>172.74</v>
      </c>
      <c r="R74">
        <v>99.89</v>
      </c>
      <c r="S74">
        <v>197.75</v>
      </c>
      <c r="T74">
        <v>202.55</v>
      </c>
      <c r="U74">
        <v>165.98</v>
      </c>
      <c r="V74">
        <v>139.47</v>
      </c>
      <c r="W74">
        <v>185.7</v>
      </c>
      <c r="X74">
        <v>147.76</v>
      </c>
      <c r="Y74">
        <v>203.66</v>
      </c>
      <c r="Z74">
        <v>210.72</v>
      </c>
      <c r="AB74">
        <v>25</v>
      </c>
      <c r="AC74">
        <v>965</v>
      </c>
      <c r="AD74">
        <v>0</v>
      </c>
      <c r="AE74">
        <v>21.5</v>
      </c>
    </row>
    <row r="76" spans="1:31" ht="15.75" thickBot="1" x14ac:dyDescent="0.3"/>
    <row r="77" spans="1:31" ht="27" thickBot="1" x14ac:dyDescent="0.3">
      <c r="C77" s="1" t="s">
        <v>124</v>
      </c>
      <c r="D77" s="1" t="s">
        <v>125</v>
      </c>
      <c r="E77" s="1" t="s">
        <v>126</v>
      </c>
      <c r="F77" s="1" t="s">
        <v>127</v>
      </c>
      <c r="G77" s="1" t="s">
        <v>128</v>
      </c>
      <c r="H77" s="1" t="s">
        <v>129</v>
      </c>
      <c r="I77" s="1" t="s">
        <v>130</v>
      </c>
      <c r="J77" s="1" t="s">
        <v>131</v>
      </c>
      <c r="K77" s="1" t="s">
        <v>132</v>
      </c>
      <c r="L77" s="1" t="s">
        <v>133</v>
      </c>
      <c r="M77" s="1"/>
      <c r="N77" s="1" t="s">
        <v>134</v>
      </c>
      <c r="O77" s="1" t="s">
        <v>135</v>
      </c>
      <c r="P77" s="1" t="s">
        <v>136</v>
      </c>
      <c r="Q77" s="1" t="s">
        <v>130</v>
      </c>
      <c r="R77" s="1" t="s">
        <v>137</v>
      </c>
      <c r="S77" s="1"/>
      <c r="T77" s="1"/>
      <c r="U77" s="1" t="s">
        <v>138</v>
      </c>
      <c r="V77" s="1" t="s">
        <v>139</v>
      </c>
      <c r="W77" s="1" t="s">
        <v>125</v>
      </c>
      <c r="X77" s="1" t="s">
        <v>140</v>
      </c>
      <c r="Y77" s="1" t="s">
        <v>141</v>
      </c>
      <c r="Z77" s="1"/>
      <c r="AC77" t="s">
        <v>120</v>
      </c>
    </row>
    <row r="78" spans="1:31" x14ac:dyDescent="0.25">
      <c r="B78" s="2" t="s">
        <v>121</v>
      </c>
      <c r="C78" s="2">
        <f>SLOPE(C14:C74,$B$14:$B$74)</f>
        <v>-2.2748721754181744</v>
      </c>
      <c r="D78" s="2">
        <f t="shared" ref="D78:Z78" si="0">SLOPE(D14:D74,$B$14:$B$74)</f>
        <v>-2.677532773756838</v>
      </c>
      <c r="E78" s="2">
        <f t="shared" si="0"/>
        <v>-2.9079634357510566</v>
      </c>
      <c r="F78" s="2">
        <f t="shared" si="0"/>
        <v>-1.4507700610906085</v>
      </c>
      <c r="G78" s="2">
        <f t="shared" si="0"/>
        <v>-3.1228573698814697</v>
      </c>
      <c r="H78" s="2">
        <f t="shared" si="0"/>
        <v>-2.3848962339421074</v>
      </c>
      <c r="I78" s="2">
        <f t="shared" si="0"/>
        <v>-3.6899576096437317</v>
      </c>
      <c r="J78" s="2">
        <f t="shared" si="0"/>
        <v>-4.3896803017596557</v>
      </c>
      <c r="K78" s="2">
        <f t="shared" si="0"/>
        <v>-3.7145877136616892</v>
      </c>
      <c r="L78" s="2">
        <f t="shared" si="0"/>
        <v>-1.8433087474634626</v>
      </c>
      <c r="M78" s="2">
        <f t="shared" si="0"/>
        <v>-0.67160832057523301</v>
      </c>
      <c r="N78" s="2">
        <f t="shared" si="0"/>
        <v>-3.9753287525744283</v>
      </c>
      <c r="O78" s="2">
        <f t="shared" si="0"/>
        <v>-4.4521800745834668</v>
      </c>
      <c r="P78" s="2">
        <f t="shared" si="0"/>
        <v>-2.0239595539838455</v>
      </c>
      <c r="Q78" s="2">
        <f t="shared" si="0"/>
        <v>-2.6383919621176704</v>
      </c>
      <c r="R78" s="2">
        <f t="shared" si="0"/>
        <v>-5.2987139900712386</v>
      </c>
      <c r="S78" s="2">
        <f t="shared" si="0"/>
        <v>-0.31894184960356253</v>
      </c>
      <c r="T78" s="2">
        <f t="shared" si="0"/>
        <v>-0.28330442737822992</v>
      </c>
      <c r="U78" s="2">
        <f t="shared" si="0"/>
        <v>-2.7351875770281575</v>
      </c>
      <c r="V78" s="2">
        <f t="shared" si="0"/>
        <v>-3.5669295733522182</v>
      </c>
      <c r="W78" s="2">
        <f t="shared" si="0"/>
        <v>-1.0813007258706078</v>
      </c>
      <c r="X78" s="2">
        <f t="shared" si="0"/>
        <v>-2.9381798450549357</v>
      </c>
      <c r="Y78" s="2">
        <f t="shared" si="0"/>
        <v>-0.47168057803332997</v>
      </c>
      <c r="Z78" s="2">
        <f t="shared" si="0"/>
        <v>-0.28286591595813032</v>
      </c>
      <c r="AA78" s="2"/>
      <c r="AC78">
        <f>AVERAGE(M79,S79,T79,Z79)</f>
        <v>0.38918012837878896</v>
      </c>
    </row>
    <row r="79" spans="1:31" x14ac:dyDescent="0.25">
      <c r="B79" s="2" t="s">
        <v>122</v>
      </c>
      <c r="C79" s="2">
        <f>C78*-1</f>
        <v>2.2748721754181744</v>
      </c>
      <c r="D79" s="2">
        <f t="shared" ref="D79:Z79" si="1">D78*-1</f>
        <v>2.677532773756838</v>
      </c>
      <c r="E79" s="2">
        <f t="shared" si="1"/>
        <v>2.9079634357510566</v>
      </c>
      <c r="F79" s="2">
        <f t="shared" si="1"/>
        <v>1.4507700610906085</v>
      </c>
      <c r="G79" s="2">
        <f t="shared" si="1"/>
        <v>3.1228573698814697</v>
      </c>
      <c r="H79" s="2">
        <f t="shared" si="1"/>
        <v>2.3848962339421074</v>
      </c>
      <c r="I79" s="2">
        <f t="shared" si="1"/>
        <v>3.6899576096437317</v>
      </c>
      <c r="J79" s="2">
        <f t="shared" si="1"/>
        <v>4.3896803017596557</v>
      </c>
      <c r="K79" s="2">
        <f t="shared" si="1"/>
        <v>3.7145877136616892</v>
      </c>
      <c r="L79" s="2">
        <f t="shared" si="1"/>
        <v>1.8433087474634626</v>
      </c>
      <c r="M79" s="2">
        <f t="shared" si="1"/>
        <v>0.67160832057523301</v>
      </c>
      <c r="N79" s="2">
        <f t="shared" si="1"/>
        <v>3.9753287525744283</v>
      </c>
      <c r="O79" s="2">
        <f t="shared" si="1"/>
        <v>4.4521800745834668</v>
      </c>
      <c r="P79" s="2">
        <f t="shared" si="1"/>
        <v>2.0239595539838455</v>
      </c>
      <c r="Q79" s="2">
        <f t="shared" si="1"/>
        <v>2.6383919621176704</v>
      </c>
      <c r="R79" s="2">
        <f t="shared" si="1"/>
        <v>5.2987139900712386</v>
      </c>
      <c r="S79" s="2">
        <f t="shared" si="1"/>
        <v>0.31894184960356253</v>
      </c>
      <c r="T79" s="2">
        <f t="shared" si="1"/>
        <v>0.28330442737822992</v>
      </c>
      <c r="U79" s="2">
        <f t="shared" si="1"/>
        <v>2.7351875770281575</v>
      </c>
      <c r="V79" s="2">
        <f t="shared" si="1"/>
        <v>3.5669295733522182</v>
      </c>
      <c r="W79" s="2">
        <f t="shared" si="1"/>
        <v>1.0813007258706078</v>
      </c>
      <c r="X79" s="2">
        <f t="shared" si="1"/>
        <v>2.9381798450549357</v>
      </c>
      <c r="Y79" s="2">
        <f t="shared" si="1"/>
        <v>0.47168057803332997</v>
      </c>
      <c r="Z79" s="2">
        <f t="shared" si="1"/>
        <v>0.28286591595813032</v>
      </c>
      <c r="AA79" s="2"/>
    </row>
    <row r="80" spans="1:31" x14ac:dyDescent="0.25">
      <c r="B80" s="2" t="s">
        <v>123</v>
      </c>
      <c r="C80" s="2">
        <f>C79-$AC$78</f>
        <v>1.8856920470393854</v>
      </c>
      <c r="D80" s="2">
        <f t="shared" ref="D80:Z80" si="2">D79-$AC$78</f>
        <v>2.2883526453780489</v>
      </c>
      <c r="E80" s="2">
        <f t="shared" si="2"/>
        <v>2.5187833073722676</v>
      </c>
      <c r="F80" s="2">
        <f t="shared" si="2"/>
        <v>1.0615899327118195</v>
      </c>
      <c r="G80" s="2">
        <f t="shared" si="2"/>
        <v>2.7336772415026807</v>
      </c>
      <c r="H80" s="2">
        <f t="shared" si="2"/>
        <v>1.9957161055633184</v>
      </c>
      <c r="I80" s="2">
        <f t="shared" si="2"/>
        <v>3.3007774812649426</v>
      </c>
      <c r="J80" s="2">
        <f t="shared" si="2"/>
        <v>4.0005001733808667</v>
      </c>
      <c r="K80" s="2">
        <f t="shared" si="2"/>
        <v>3.3254075852829001</v>
      </c>
      <c r="L80" s="2">
        <f t="shared" si="2"/>
        <v>1.4541286190846736</v>
      </c>
      <c r="M80" s="2">
        <f t="shared" si="2"/>
        <v>0.28242819219644405</v>
      </c>
      <c r="N80" s="2">
        <f t="shared" si="2"/>
        <v>3.5861486241956393</v>
      </c>
      <c r="O80" s="2">
        <f t="shared" si="2"/>
        <v>4.0629999462046777</v>
      </c>
      <c r="P80" s="2">
        <f t="shared" si="2"/>
        <v>1.6347794256050565</v>
      </c>
      <c r="Q80" s="2">
        <f t="shared" si="2"/>
        <v>2.2492118337388813</v>
      </c>
      <c r="R80" s="2">
        <f t="shared" si="2"/>
        <v>4.9095338616924495</v>
      </c>
      <c r="S80" s="2">
        <f t="shared" si="2"/>
        <v>-7.0238278775226426E-2</v>
      </c>
      <c r="T80" s="2">
        <f t="shared" si="2"/>
        <v>-0.10587570100055904</v>
      </c>
      <c r="U80" s="2">
        <f t="shared" si="2"/>
        <v>2.3460074486493685</v>
      </c>
      <c r="V80" s="2">
        <f t="shared" si="2"/>
        <v>3.1777494449734291</v>
      </c>
      <c r="W80" s="2">
        <f t="shared" si="2"/>
        <v>0.69212059749181876</v>
      </c>
      <c r="X80" s="2">
        <f t="shared" si="2"/>
        <v>2.5489997166761467</v>
      </c>
      <c r="Y80" s="2">
        <f t="shared" si="2"/>
        <v>8.2500449654541008E-2</v>
      </c>
      <c r="Z80" s="2">
        <f t="shared" si="2"/>
        <v>-0.10631421242065864</v>
      </c>
      <c r="AA80" s="2"/>
    </row>
    <row r="82" spans="3:26" x14ac:dyDescent="0.25">
      <c r="C82">
        <v>1.8856920470393854</v>
      </c>
      <c r="D82">
        <v>2.2883526453780489</v>
      </c>
      <c r="E82">
        <v>2.5187833073722676</v>
      </c>
      <c r="F82">
        <v>1.0615899327118195</v>
      </c>
      <c r="G82">
        <v>2.7336772415026807</v>
      </c>
      <c r="H82">
        <v>1.9957161055633184</v>
      </c>
      <c r="I82">
        <v>3.3007774812649426</v>
      </c>
      <c r="J82">
        <v>4.0005001733808667</v>
      </c>
      <c r="K82">
        <v>3.3254075852829001</v>
      </c>
      <c r="L82">
        <v>1.4541286190846736</v>
      </c>
      <c r="M82">
        <v>0.28242819219644405</v>
      </c>
      <c r="N82">
        <v>3.5861486241956393</v>
      </c>
      <c r="O82">
        <v>4.0629999462046777</v>
      </c>
      <c r="P82">
        <v>1.6347794256050565</v>
      </c>
      <c r="Q82">
        <v>2.2492118337388813</v>
      </c>
      <c r="R82">
        <v>4.9095338616924495</v>
      </c>
      <c r="S82">
        <v>-7.0238278775226426E-2</v>
      </c>
      <c r="T82">
        <v>-0.10587570100055904</v>
      </c>
      <c r="U82">
        <v>2.3460074486493685</v>
      </c>
      <c r="V82">
        <v>3.1777494449734291</v>
      </c>
      <c r="W82">
        <v>0.69212059749181876</v>
      </c>
      <c r="X82">
        <v>2.5489997166761467</v>
      </c>
      <c r="Y82">
        <v>8.2500449654541008E-2</v>
      </c>
      <c r="Z82">
        <v>-0.10631421242065864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2C0B3-C175-41FE-98C0-2D26253AFB95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Liel Uziahu</cp:lastModifiedBy>
  <dcterms:created xsi:type="dcterms:W3CDTF">2025-05-14T11:50:24Z</dcterms:created>
  <dcterms:modified xsi:type="dcterms:W3CDTF">2025-05-17T19:10:30Z</dcterms:modified>
</cp:coreProperties>
</file>